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udntnu.sharepoint.com/sites/o365_BachelorBoys2026/Shared Documents/General/Test results/RCM/"/>
    </mc:Choice>
  </mc:AlternateContent>
  <xr:revisionPtr revIDLastSave="393" documentId="11_A51AE4FA47505C1141EDC31E88D2AEEA3B73F6F9" xr6:coauthVersionLast="47" xr6:coauthVersionMax="47" xr10:uidLastSave="{528E4AC2-3B9B-9442-B28A-9E306F745F42}"/>
  <bookViews>
    <workbookView xWindow="-110" yWindow="-110" windowWidth="19420" windowHeight="10300" xr2:uid="{00000000-000D-0000-FFFF-FFFF00000000}"/>
  </bookViews>
  <sheets>
    <sheet name="Ark1" sheetId="1" r:id="rId1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1" l="1"/>
  <c r="K20" i="1"/>
  <c r="K19" i="1"/>
  <c r="K18" i="1"/>
  <c r="K17" i="1"/>
  <c r="K16" i="1"/>
  <c r="J17" i="1"/>
  <c r="J18" i="1"/>
  <c r="J19" i="1"/>
  <c r="J20" i="1"/>
  <c r="J21" i="1"/>
  <c r="J16" i="1"/>
  <c r="I36" i="1"/>
  <c r="I37" i="1"/>
  <c r="I38" i="1"/>
  <c r="I39" i="1"/>
  <c r="I40" i="1"/>
  <c r="I35" i="1"/>
  <c r="H36" i="1"/>
  <c r="H37" i="1"/>
  <c r="H38" i="1"/>
  <c r="H39" i="1"/>
  <c r="H40" i="1"/>
  <c r="H35" i="1"/>
  <c r="G36" i="1"/>
  <c r="G37" i="1"/>
  <c r="G38" i="1"/>
  <c r="G39" i="1"/>
  <c r="G40" i="1"/>
  <c r="G35" i="1"/>
  <c r="F36" i="1"/>
  <c r="F37" i="1"/>
  <c r="F38" i="1"/>
  <c r="F39" i="1"/>
  <c r="F40" i="1"/>
  <c r="F35" i="1"/>
  <c r="E36" i="1"/>
  <c r="E37" i="1"/>
  <c r="E38" i="1"/>
  <c r="E39" i="1"/>
  <c r="E40" i="1"/>
  <c r="E35" i="1"/>
</calcChain>
</file>

<file path=xl/sharedStrings.xml><?xml version="1.0" encoding="utf-8"?>
<sst xmlns="http://schemas.openxmlformats.org/spreadsheetml/2006/main" count="55" uniqueCount="19">
  <si>
    <t>Run 1</t>
  </si>
  <si>
    <t>Model</t>
  </si>
  <si>
    <t>Total Questions</t>
  </si>
  <si>
    <t>Correct Answers</t>
  </si>
  <si>
    <t>Final Accuracy</t>
  </si>
  <si>
    <t>Average Time per Question</t>
  </si>
  <si>
    <t>Total  Time</t>
  </si>
  <si>
    <t>ministral-3:8b</t>
  </si>
  <si>
    <t>qwen3-vl:8b</t>
  </si>
  <si>
    <t>gemma3:12b</t>
  </si>
  <si>
    <t>ministral-3:14b</t>
  </si>
  <si>
    <t>qwen3-vl:32b</t>
  </si>
  <si>
    <t>llama4:16x17b</t>
  </si>
  <si>
    <t>Run 2</t>
  </si>
  <si>
    <t>Run 3</t>
  </si>
  <si>
    <t>Average</t>
  </si>
  <si>
    <t>CTIBench-RCM 100 question</t>
  </si>
  <si>
    <t>Standardavvik accuracy</t>
  </si>
  <si>
    <t>Standardavik per question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</si>
</sst>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10" fontId="0" fillId="0" borderId="7" xfId="0" applyNumberFormat="1" applyBorder="1"/>
    <xf numFmtId="2" fontId="0" fillId="0" borderId="8" xfId="0" applyNumberFormat="1" applyBorder="1"/>
    <xf numFmtId="0" fontId="0" fillId="0" borderId="9" xfId="0" applyBorder="1"/>
    <xf numFmtId="10" fontId="0" fillId="0" borderId="9" xfId="0" applyNumberFormat="1" applyBorder="1"/>
    <xf numFmtId="2" fontId="0" fillId="0" borderId="10" xfId="0" applyNumberFormat="1" applyBorder="1"/>
    <xf numFmtId="2" fontId="0" fillId="0" borderId="0" xfId="0" applyNumberFormat="1"/>
    <xf numFmtId="2" fontId="0" fillId="0" borderId="5" xfId="0" applyNumberFormat="1" applyBorder="1"/>
    <xf numFmtId="2" fontId="0" fillId="0" borderId="2" xfId="0" applyNumberFormat="1" applyBorder="1"/>
    <xf numFmtId="0" fontId="0" fillId="2" borderId="3" xfId="0" applyFill="1" applyBorder="1"/>
    <xf numFmtId="0" fontId="0" fillId="2" borderId="4" xfId="0" applyFill="1" applyBorder="1"/>
    <xf numFmtId="2" fontId="0" fillId="2" borderId="5" xfId="0" applyNumberFormat="1" applyFill="1" applyBorder="1"/>
    <xf numFmtId="0" fontId="0" fillId="3" borderId="7" xfId="0" applyFill="1" applyBorder="1"/>
    <xf numFmtId="10" fontId="0" fillId="3" borderId="7" xfId="0" applyNumberFormat="1" applyFill="1" applyBorder="1"/>
    <xf numFmtId="2" fontId="0" fillId="3" borderId="8" xfId="0" applyNumberFormat="1" applyFill="1" applyBorder="1"/>
    <xf numFmtId="0" fontId="0" fillId="4" borderId="7" xfId="0" applyFill="1" applyBorder="1"/>
    <xf numFmtId="0" fontId="0" fillId="5" borderId="7" xfId="0" applyFill="1" applyBorder="1"/>
    <xf numFmtId="0" fontId="0" fillId="6" borderId="9" xfId="0" applyFill="1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10" fontId="0" fillId="0" borderId="7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10" fontId="0" fillId="0" borderId="9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2" fontId="0" fillId="3" borderId="7" xfId="0" applyNumberFormat="1" applyFill="1" applyBorder="1"/>
    <xf numFmtId="1" fontId="0" fillId="3" borderId="7" xfId="0" applyNumberFormat="1" applyFill="1" applyBorder="1"/>
    <xf numFmtId="0" fontId="0" fillId="0" borderId="7" xfId="0" applyFill="1" applyBorder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47D45A"/>
      <color rgb="FFF2AA84"/>
      <color rgb="FFD86ECC"/>
      <color rgb="FFF6C6AD"/>
      <color rgb="FFA6CAEC"/>
      <color rgb="FF4E95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000"/>
              <a:t>CTIBench-RCM</a:t>
            </a:r>
            <a:r>
              <a:rPr lang="en-GB" sz="2000" baseline="0"/>
              <a:t> 100 Question Test Results</a:t>
            </a:r>
            <a:endParaRPr lang="en-GB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x"/>
            <c:size val="11"/>
            <c:spPr>
              <a:noFill/>
              <a:ln w="1587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1328845272277238"/>
                  <c:y val="-8.9771170664887073E-2"/>
                </c:manualLayout>
              </c:layout>
              <c:tx>
                <c:rich>
                  <a:bodyPr/>
                  <a:lstStyle/>
                  <a:p>
                    <a:fld id="{5038059F-554E-D84C-A24B-97E4DF1D18FE}" type="CELLRANGE">
                      <a:rPr lang="en-US"/>
                      <a:pPr/>
                      <a:t>[CELLEOMRÅDE]</a:t>
                    </a:fld>
                    <a:endParaRPr lang="en-GB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1979-4302-BC38-EBD5F04E7DC3}"/>
                </c:ext>
              </c:extLst>
            </c:dLbl>
            <c:dLbl>
              <c:idx val="1"/>
              <c:layout>
                <c:manualLayout>
                  <c:x val="1.3512640023035373E-2"/>
                  <c:y val="-9.9313245540834649E-2"/>
                </c:manualLayout>
              </c:layout>
              <c:tx>
                <c:rich>
                  <a:bodyPr/>
                  <a:lstStyle/>
                  <a:p>
                    <a:fld id="{DF9997B6-EB3D-3A40-89CC-F25662D9818E}" type="CELLRANGE">
                      <a:rPr lang="en-US"/>
                      <a:pPr/>
                      <a:t>[CELLEOMRÅDE]</a:t>
                    </a:fld>
                    <a:endParaRPr lang="en-GB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1979-4302-BC38-EBD5F04E7DC3}"/>
                </c:ext>
              </c:extLst>
            </c:dLbl>
            <c:dLbl>
              <c:idx val="2"/>
              <c:layout>
                <c:manualLayout>
                  <c:x val="-1.2509915505764942E-2"/>
                  <c:y val="-9.3307891030074155E-2"/>
                </c:manualLayout>
              </c:layout>
              <c:tx>
                <c:rich>
                  <a:bodyPr/>
                  <a:lstStyle/>
                  <a:p>
                    <a:fld id="{AFBC4C9E-C242-274D-A0E8-DBBB52810790}" type="CELLRANGE">
                      <a:rPr lang="en-US"/>
                      <a:pPr/>
                      <a:t>[CELLEOMRÅDE]</a:t>
                    </a:fld>
                    <a:endParaRPr lang="en-GB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1979-4302-BC38-EBD5F04E7DC3}"/>
                </c:ext>
              </c:extLst>
            </c:dLbl>
            <c:dLbl>
              <c:idx val="3"/>
              <c:layout>
                <c:manualLayout>
                  <c:x val="-3.7172267879639287E-2"/>
                  <c:y val="-7.9728737893004248E-2"/>
                </c:manualLayout>
              </c:layout>
              <c:tx>
                <c:rich>
                  <a:bodyPr/>
                  <a:lstStyle/>
                  <a:p>
                    <a:fld id="{641D8FCE-6724-B94E-BFCB-78FF00527A1A}" type="CELLRANGE">
                      <a:rPr lang="en-US"/>
                      <a:pPr/>
                      <a:t>[CELLEOMRÅDE]</a:t>
                    </a:fld>
                    <a:endParaRPr lang="en-GB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1979-4302-BC38-EBD5F04E7DC3}"/>
                </c:ext>
              </c:extLst>
            </c:dLbl>
            <c:dLbl>
              <c:idx val="4"/>
              <c:layout>
                <c:manualLayout>
                  <c:x val="-0.17041360398645611"/>
                  <c:y val="-3.3432839664476646E-2"/>
                </c:manualLayout>
              </c:layout>
              <c:tx>
                <c:rich>
                  <a:bodyPr/>
                  <a:lstStyle/>
                  <a:p>
                    <a:fld id="{7456B45A-3683-9C49-8431-F91A07494053}" type="CELLRANGE">
                      <a:rPr lang="en-US"/>
                      <a:pPr/>
                      <a:t>[CELLEOMRÅDE]</a:t>
                    </a:fld>
                    <a:endParaRPr lang="en-GB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1979-4302-BC38-EBD5F04E7DC3}"/>
                </c:ext>
              </c:extLst>
            </c:dLbl>
            <c:dLbl>
              <c:idx val="5"/>
              <c:layout>
                <c:manualLayout>
                  <c:x val="-0.15505589988009116"/>
                  <c:y val="-6.2495836658959691E-2"/>
                </c:manualLayout>
              </c:layout>
              <c:tx>
                <c:rich>
                  <a:bodyPr/>
                  <a:lstStyle/>
                  <a:p>
                    <a:fld id="{A16A96D4-A9BE-304B-B097-D9C73372CFA9}" type="CELLRANGE">
                      <a:rPr lang="en-US"/>
                      <a:pPr/>
                      <a:t>[CELLEOMRÅDE]</a:t>
                    </a:fld>
                    <a:endParaRPr lang="en-GB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1979-4302-BC38-EBD5F04E7D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x"/>
            <c:errBarType val="both"/>
            <c:errValType val="cust"/>
            <c:noEndCap val="0"/>
            <c:plus>
              <c:numRef>
                <c:f>'Ark1'!$J$16:$J$21</c:f>
                <c:numCache>
                  <c:formatCode>General</c:formatCode>
                  <c:ptCount val="6"/>
                  <c:pt idx="0">
                    <c:v>3.0550504633038898E-2</c:v>
                  </c:pt>
                  <c:pt idx="1">
                    <c:v>0</c:v>
                  </c:pt>
                  <c:pt idx="2">
                    <c:v>0</c:v>
                  </c:pt>
                  <c:pt idx="3">
                    <c:v>1.527525231651948E-2</c:v>
                  </c:pt>
                  <c:pt idx="4">
                    <c:v>0</c:v>
                  </c:pt>
                  <c:pt idx="5">
                    <c:v>0</c:v>
                  </c:pt>
                </c:numCache>
              </c:numRef>
            </c:plus>
            <c:minus>
              <c:numRef>
                <c:f>'Ark1'!$J$16:$J$21</c:f>
                <c:numCache>
                  <c:formatCode>General</c:formatCode>
                  <c:ptCount val="6"/>
                  <c:pt idx="0">
                    <c:v>3.0550504633038898E-2</c:v>
                  </c:pt>
                  <c:pt idx="1">
                    <c:v>0</c:v>
                  </c:pt>
                  <c:pt idx="2">
                    <c:v>0</c:v>
                  </c:pt>
                  <c:pt idx="3">
                    <c:v>1.527525231651948E-2</c:v>
                  </c:pt>
                  <c:pt idx="4">
                    <c:v>0</c:v>
                  </c:pt>
                  <c:pt idx="5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'Ark1'!$K$16:$K$21</c:f>
                <c:numCache>
                  <c:formatCode>General</c:formatCode>
                  <c:ptCount val="6"/>
                  <c:pt idx="0">
                    <c:v>0.32715949219506557</c:v>
                  </c:pt>
                  <c:pt idx="1">
                    <c:v>2.5255296474205258</c:v>
                  </c:pt>
                  <c:pt idx="2">
                    <c:v>0.11269427669584563</c:v>
                  </c:pt>
                  <c:pt idx="3">
                    <c:v>0.2371356854910992</c:v>
                  </c:pt>
                  <c:pt idx="4">
                    <c:v>24.698354196180798</c:v>
                  </c:pt>
                  <c:pt idx="5">
                    <c:v>20.186874448512324</c:v>
                  </c:pt>
                </c:numCache>
              </c:numRef>
            </c:plus>
            <c:minus>
              <c:numRef>
                <c:f>'Ark1'!$K$16:$K$21</c:f>
                <c:numCache>
                  <c:formatCode>General</c:formatCode>
                  <c:ptCount val="6"/>
                  <c:pt idx="0">
                    <c:v>0.32715949219506557</c:v>
                  </c:pt>
                  <c:pt idx="1">
                    <c:v>2.5255296474205258</c:v>
                  </c:pt>
                  <c:pt idx="2">
                    <c:v>0.11269427669584563</c:v>
                  </c:pt>
                  <c:pt idx="3">
                    <c:v>0.2371356854910992</c:v>
                  </c:pt>
                  <c:pt idx="4">
                    <c:v>24.698354196180798</c:v>
                  </c:pt>
                  <c:pt idx="5">
                    <c:v>20.186874448512324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'Ark1'!$G$35:$G$40</c:f>
              <c:numCache>
                <c:formatCode>0.00%</c:formatCode>
                <c:ptCount val="6"/>
                <c:pt idx="0">
                  <c:v>0.65666666666666662</c:v>
                </c:pt>
                <c:pt idx="1">
                  <c:v>0.54</c:v>
                </c:pt>
                <c:pt idx="2">
                  <c:v>0.53</c:v>
                </c:pt>
                <c:pt idx="3">
                  <c:v>0.77666666666666673</c:v>
                </c:pt>
                <c:pt idx="4">
                  <c:v>0.63</c:v>
                </c:pt>
                <c:pt idx="5">
                  <c:v>0.71</c:v>
                </c:pt>
              </c:numCache>
            </c:numRef>
          </c:xVal>
          <c:yVal>
            <c:numRef>
              <c:f>'Ark1'!$H$35:$H$40</c:f>
              <c:numCache>
                <c:formatCode>0.00</c:formatCode>
                <c:ptCount val="6"/>
                <c:pt idx="0">
                  <c:v>7.8066666666666675</c:v>
                </c:pt>
                <c:pt idx="1">
                  <c:v>210.92999999999998</c:v>
                </c:pt>
                <c:pt idx="2">
                  <c:v>17.320000000000004</c:v>
                </c:pt>
                <c:pt idx="3">
                  <c:v>12.986666666666665</c:v>
                </c:pt>
                <c:pt idx="4">
                  <c:v>1011.18</c:v>
                </c:pt>
                <c:pt idx="5">
                  <c:v>192.36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'Ark1'!$D$35:$D$40</c15:f>
                <c15:dlblRangeCache>
                  <c:ptCount val="6"/>
                  <c:pt idx="0">
                    <c:v>ministral-3:8b</c:v>
                  </c:pt>
                  <c:pt idx="1">
                    <c:v>qwen3-vl:8b</c:v>
                  </c:pt>
                  <c:pt idx="2">
                    <c:v>gemma3:12b</c:v>
                  </c:pt>
                  <c:pt idx="3">
                    <c:v>ministral-3:14b</c:v>
                  </c:pt>
                  <c:pt idx="4">
                    <c:v>qwen3-vl:32b</c:v>
                  </c:pt>
                  <c:pt idx="5">
                    <c:v>llama4:16x17b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1979-4302-BC38-EBD5F04E7DC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112524031"/>
        <c:axId val="1112526431"/>
      </c:scatterChart>
      <c:valAx>
        <c:axId val="1112524031"/>
        <c:scaling>
          <c:orientation val="minMax"/>
          <c:min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Average Final 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526431"/>
        <c:crosses val="autoZero"/>
        <c:crossBetween val="midCat"/>
      </c:valAx>
      <c:valAx>
        <c:axId val="1112526431"/>
        <c:scaling>
          <c:orientation val="minMax"/>
          <c:max val="109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Average Time Per Question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524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78181</xdr:colOff>
      <xdr:row>30</xdr:row>
      <xdr:rowOff>164534</xdr:rowOff>
    </xdr:from>
    <xdr:to>
      <xdr:col>25</xdr:col>
      <xdr:colOff>601732</xdr:colOff>
      <xdr:row>65</xdr:row>
      <xdr:rowOff>51506</xdr:rowOff>
    </xdr:to>
    <xdr:graphicFrame macro="">
      <xdr:nvGraphicFramePr>
        <xdr:cNvPr id="9" name="Diagram 1">
          <a:extLst>
            <a:ext uri="{FF2B5EF4-FFF2-40B4-BE49-F238E27FC236}">
              <a16:creationId xmlns:a16="http://schemas.microsoft.com/office/drawing/2014/main" id="{75246C74-29A3-B58A-15B1-A300821D1B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2:K40"/>
  <sheetViews>
    <sheetView tabSelected="1" topLeftCell="D34" zoomScale="61" workbookViewId="0">
      <selection activeCell="I58" sqref="I58"/>
    </sheetView>
  </sheetViews>
  <sheetFormatPr baseColWidth="10" defaultColWidth="8.6328125" defaultRowHeight="14.5" x14ac:dyDescent="0.35"/>
  <cols>
    <col min="4" max="4" width="17.6328125" bestFit="1" customWidth="1"/>
    <col min="5" max="5" width="13.81640625" bestFit="1" customWidth="1"/>
    <col min="6" max="6" width="14.453125" bestFit="1" customWidth="1"/>
    <col min="7" max="7" width="12.453125" bestFit="1" customWidth="1"/>
    <col min="8" max="8" width="23.453125" bestFit="1" customWidth="1"/>
    <col min="9" max="9" width="10" bestFit="1" customWidth="1"/>
    <col min="10" max="10" width="19.453125" bestFit="1" customWidth="1"/>
    <col min="11" max="11" width="21.81640625" bestFit="1" customWidth="1"/>
  </cols>
  <sheetData>
    <row r="2" spans="4:11" ht="15" thickBot="1" x14ac:dyDescent="0.4"/>
    <row r="3" spans="4:11" ht="15" thickBot="1" x14ac:dyDescent="0.4">
      <c r="D3" s="1" t="s">
        <v>16</v>
      </c>
      <c r="E3" s="2"/>
    </row>
    <row r="4" spans="4:11" ht="15" thickBot="1" x14ac:dyDescent="0.4"/>
    <row r="5" spans="4:11" ht="15" thickBot="1" x14ac:dyDescent="0.4">
      <c r="D5" s="24" t="s">
        <v>0</v>
      </c>
      <c r="E5" s="25"/>
      <c r="F5" s="25"/>
      <c r="G5" s="25"/>
      <c r="H5" s="25"/>
      <c r="I5" s="26"/>
    </row>
    <row r="6" spans="4:11" ht="15" thickBot="1" x14ac:dyDescent="0.4">
      <c r="D6" s="27" t="s">
        <v>1</v>
      </c>
      <c r="E6" s="27" t="s">
        <v>2</v>
      </c>
      <c r="F6" s="27" t="s">
        <v>3</v>
      </c>
      <c r="G6" s="27" t="s">
        <v>4</v>
      </c>
      <c r="H6" s="27" t="s">
        <v>5</v>
      </c>
      <c r="I6" s="28" t="s">
        <v>6</v>
      </c>
    </row>
    <row r="7" spans="4:11" x14ac:dyDescent="0.35">
      <c r="D7" s="29" t="s">
        <v>7</v>
      </c>
      <c r="E7" s="29">
        <v>100</v>
      </c>
      <c r="F7" s="29">
        <v>63</v>
      </c>
      <c r="G7" s="30">
        <v>0.63</v>
      </c>
      <c r="H7" s="29">
        <v>7.57</v>
      </c>
      <c r="I7" s="31">
        <v>757.21</v>
      </c>
    </row>
    <row r="8" spans="4:11" x14ac:dyDescent="0.35">
      <c r="D8" s="29" t="s">
        <v>8</v>
      </c>
      <c r="E8" s="29">
        <v>100</v>
      </c>
      <c r="F8" s="29">
        <v>54</v>
      </c>
      <c r="G8" s="30">
        <v>0.54</v>
      </c>
      <c r="H8" s="29">
        <v>208.14</v>
      </c>
      <c r="I8" s="31">
        <v>20814.14</v>
      </c>
    </row>
    <row r="9" spans="4:11" x14ac:dyDescent="0.35">
      <c r="D9" s="29" t="s">
        <v>9</v>
      </c>
      <c r="E9" s="29">
        <v>100</v>
      </c>
      <c r="F9" s="29">
        <v>53</v>
      </c>
      <c r="G9" s="30">
        <v>0.53</v>
      </c>
      <c r="H9" s="29">
        <v>17.25</v>
      </c>
      <c r="I9" s="31">
        <v>1725.4</v>
      </c>
    </row>
    <row r="10" spans="4:11" x14ac:dyDescent="0.35">
      <c r="D10" s="29" t="s">
        <v>10</v>
      </c>
      <c r="E10" s="29">
        <v>100</v>
      </c>
      <c r="F10" s="29">
        <v>76</v>
      </c>
      <c r="G10" s="30">
        <v>0.76</v>
      </c>
      <c r="H10" s="29">
        <v>12.77</v>
      </c>
      <c r="I10" s="31">
        <v>1276.72</v>
      </c>
    </row>
    <row r="11" spans="4:11" x14ac:dyDescent="0.35">
      <c r="D11" s="29" t="s">
        <v>11</v>
      </c>
      <c r="E11" s="29">
        <v>100</v>
      </c>
      <c r="F11" s="29">
        <v>63</v>
      </c>
      <c r="G11" s="30">
        <v>0.63</v>
      </c>
      <c r="H11" s="29">
        <v>1022.2</v>
      </c>
      <c r="I11" s="31">
        <v>102219.53</v>
      </c>
    </row>
    <row r="12" spans="4:11" ht="15" thickBot="1" x14ac:dyDescent="0.4">
      <c r="D12" s="32" t="s">
        <v>12</v>
      </c>
      <c r="E12" s="32">
        <v>100</v>
      </c>
      <c r="F12" s="32">
        <v>71</v>
      </c>
      <c r="G12" s="33">
        <v>0.71</v>
      </c>
      <c r="H12" s="32">
        <v>169.11</v>
      </c>
      <c r="I12" s="34">
        <v>16910.810000000001</v>
      </c>
    </row>
    <row r="13" spans="4:11" ht="15" thickBot="1" x14ac:dyDescent="0.4">
      <c r="I13" s="12"/>
    </row>
    <row r="14" spans="4:11" ht="15" thickBot="1" x14ac:dyDescent="0.4">
      <c r="D14" s="3" t="s">
        <v>13</v>
      </c>
      <c r="E14" s="4"/>
      <c r="F14" s="4"/>
      <c r="G14" s="4"/>
      <c r="H14" s="4"/>
      <c r="I14" s="13"/>
    </row>
    <row r="15" spans="4:11" ht="15" thickBot="1" x14ac:dyDescent="0.4">
      <c r="D15" s="5" t="s">
        <v>1</v>
      </c>
      <c r="E15" s="5" t="s">
        <v>2</v>
      </c>
      <c r="F15" s="5" t="s">
        <v>3</v>
      </c>
      <c r="G15" s="5" t="s">
        <v>4</v>
      </c>
      <c r="H15" s="5" t="s">
        <v>5</v>
      </c>
      <c r="I15" s="14" t="s">
        <v>6</v>
      </c>
      <c r="J15" t="s">
        <v>17</v>
      </c>
      <c r="K15" t="s">
        <v>18</v>
      </c>
    </row>
    <row r="16" spans="4:11" x14ac:dyDescent="0.35">
      <c r="D16" s="29" t="s">
        <v>7</v>
      </c>
      <c r="E16" s="29">
        <v>100</v>
      </c>
      <c r="F16" s="29">
        <v>69</v>
      </c>
      <c r="G16" s="30">
        <v>0.69</v>
      </c>
      <c r="H16" s="29">
        <v>8.18</v>
      </c>
      <c r="I16" s="29">
        <v>818.24</v>
      </c>
      <c r="J16">
        <f>STDEV(G7,G16,G25)</f>
        <v>3.0550504633038898E-2</v>
      </c>
      <c r="K16">
        <f>STDEV(H7,H16,H25)</f>
        <v>0.32715949219506557</v>
      </c>
    </row>
    <row r="17" spans="4:11" x14ac:dyDescent="0.35">
      <c r="D17" s="29" t="s">
        <v>8</v>
      </c>
      <c r="E17" s="29">
        <v>100</v>
      </c>
      <c r="F17" s="29">
        <v>54</v>
      </c>
      <c r="G17" s="30">
        <v>0.54</v>
      </c>
      <c r="H17" s="29">
        <v>211.59</v>
      </c>
      <c r="I17" s="31">
        <v>21158.87</v>
      </c>
      <c r="J17">
        <f t="shared" ref="J17:J21" si="0">STDEV(G8,G17,G26)</f>
        <v>0</v>
      </c>
      <c r="K17">
        <f t="shared" ref="K17:K21" si="1">STDEV(H8,H17,H26)</f>
        <v>2.5255296474205258</v>
      </c>
    </row>
    <row r="18" spans="4:11" x14ac:dyDescent="0.35">
      <c r="D18" s="29" t="s">
        <v>9</v>
      </c>
      <c r="E18" s="29">
        <v>100</v>
      </c>
      <c r="F18" s="29">
        <v>53</v>
      </c>
      <c r="G18" s="30">
        <v>0.53</v>
      </c>
      <c r="H18" s="29">
        <v>17.260000000000002</v>
      </c>
      <c r="I18" s="31">
        <v>1726.13</v>
      </c>
      <c r="J18">
        <f t="shared" si="0"/>
        <v>0</v>
      </c>
      <c r="K18">
        <f t="shared" si="1"/>
        <v>0.11269427669584563</v>
      </c>
    </row>
    <row r="19" spans="4:11" x14ac:dyDescent="0.35">
      <c r="D19" s="29" t="s">
        <v>10</v>
      </c>
      <c r="E19" s="29">
        <v>100</v>
      </c>
      <c r="F19" s="29">
        <v>78</v>
      </c>
      <c r="G19" s="30">
        <v>0.78</v>
      </c>
      <c r="H19" s="29">
        <v>13.24</v>
      </c>
      <c r="I19" s="31">
        <v>1324.33</v>
      </c>
      <c r="J19">
        <f t="shared" si="0"/>
        <v>1.527525231651948E-2</v>
      </c>
      <c r="K19">
        <f t="shared" si="1"/>
        <v>0.2371356854910992</v>
      </c>
    </row>
    <row r="20" spans="4:11" x14ac:dyDescent="0.35">
      <c r="D20" s="29" t="s">
        <v>11</v>
      </c>
      <c r="E20" s="29">
        <v>100</v>
      </c>
      <c r="F20" s="29">
        <v>63</v>
      </c>
      <c r="G20" s="30">
        <v>0.63</v>
      </c>
      <c r="H20" s="29">
        <v>982.89</v>
      </c>
      <c r="I20" s="31">
        <v>98288.75</v>
      </c>
      <c r="J20">
        <f t="shared" si="0"/>
        <v>0</v>
      </c>
      <c r="K20">
        <f t="shared" si="1"/>
        <v>24.698354196180798</v>
      </c>
    </row>
    <row r="21" spans="4:11" ht="15" thickBot="1" x14ac:dyDescent="0.4">
      <c r="D21" s="32" t="s">
        <v>12</v>
      </c>
      <c r="E21" s="32">
        <v>100</v>
      </c>
      <c r="F21" s="32">
        <v>71</v>
      </c>
      <c r="G21" s="33">
        <v>0.71</v>
      </c>
      <c r="H21" s="32">
        <v>205.43</v>
      </c>
      <c r="I21" s="34">
        <v>20542.849999999999</v>
      </c>
      <c r="J21">
        <f t="shared" si="0"/>
        <v>0</v>
      </c>
      <c r="K21">
        <f t="shared" si="1"/>
        <v>20.186874448512324</v>
      </c>
    </row>
    <row r="22" spans="4:11" ht="15" thickBot="1" x14ac:dyDescent="0.4">
      <c r="I22" s="12"/>
    </row>
    <row r="23" spans="4:11" ht="15" thickBot="1" x14ac:dyDescent="0.4">
      <c r="D23" s="3" t="s">
        <v>14</v>
      </c>
      <c r="E23" s="4"/>
      <c r="F23" s="4"/>
      <c r="G23" s="4"/>
      <c r="H23" s="4"/>
      <c r="I23" s="13"/>
    </row>
    <row r="24" spans="4:11" ht="15" thickBot="1" x14ac:dyDescent="0.4">
      <c r="D24" s="5" t="s">
        <v>1</v>
      </c>
      <c r="E24" s="5" t="s">
        <v>2</v>
      </c>
      <c r="F24" s="5" t="s">
        <v>3</v>
      </c>
      <c r="G24" s="5" t="s">
        <v>4</v>
      </c>
      <c r="H24" s="5" t="s">
        <v>5</v>
      </c>
      <c r="I24" s="14" t="s">
        <v>6</v>
      </c>
    </row>
    <row r="25" spans="4:11" x14ac:dyDescent="0.35">
      <c r="D25" s="6" t="s">
        <v>7</v>
      </c>
      <c r="E25" s="6">
        <v>100</v>
      </c>
      <c r="F25" s="6">
        <v>65</v>
      </c>
      <c r="G25" s="7">
        <v>0.65</v>
      </c>
      <c r="H25" s="6">
        <v>7.67</v>
      </c>
      <c r="I25" s="8">
        <v>766.93</v>
      </c>
    </row>
    <row r="26" spans="4:11" x14ac:dyDescent="0.35">
      <c r="D26" s="6" t="s">
        <v>8</v>
      </c>
      <c r="E26" s="6">
        <v>100</v>
      </c>
      <c r="F26" s="6">
        <v>54</v>
      </c>
      <c r="G26" s="7">
        <v>0.54</v>
      </c>
      <c r="H26" s="6">
        <v>213.06</v>
      </c>
      <c r="I26" s="8">
        <v>21305.759999999998</v>
      </c>
    </row>
    <row r="27" spans="4:11" x14ac:dyDescent="0.35">
      <c r="D27" s="6" t="s">
        <v>9</v>
      </c>
      <c r="E27" s="6">
        <v>100</v>
      </c>
      <c r="F27" s="6">
        <v>53</v>
      </c>
      <c r="G27" s="7">
        <v>0.53</v>
      </c>
      <c r="H27" s="6">
        <v>17.45</v>
      </c>
      <c r="I27" s="8">
        <v>1745.41</v>
      </c>
    </row>
    <row r="28" spans="4:11" x14ac:dyDescent="0.35">
      <c r="D28" s="6" t="s">
        <v>10</v>
      </c>
      <c r="E28" s="6">
        <v>100</v>
      </c>
      <c r="F28" s="6">
        <v>79</v>
      </c>
      <c r="G28" s="7">
        <v>0.79</v>
      </c>
      <c r="H28" s="6">
        <v>12.95</v>
      </c>
      <c r="I28" s="8">
        <v>1295.01</v>
      </c>
    </row>
    <row r="29" spans="4:11" x14ac:dyDescent="0.35">
      <c r="D29" s="6" t="s">
        <v>11</v>
      </c>
      <c r="E29" s="37">
        <v>100</v>
      </c>
      <c r="F29" s="6">
        <v>63</v>
      </c>
      <c r="G29" s="7">
        <v>0.63</v>
      </c>
      <c r="H29" s="6">
        <v>1028.45</v>
      </c>
      <c r="I29" s="8">
        <v>102845.42</v>
      </c>
    </row>
    <row r="30" spans="4:11" ht="15" thickBot="1" x14ac:dyDescent="0.4">
      <c r="D30" s="9" t="s">
        <v>12</v>
      </c>
      <c r="E30" s="9">
        <v>100</v>
      </c>
      <c r="F30" s="9">
        <v>71</v>
      </c>
      <c r="G30" s="10">
        <v>0.71</v>
      </c>
      <c r="H30" s="9">
        <v>202.54</v>
      </c>
      <c r="I30" s="11">
        <v>20253.939999999999</v>
      </c>
    </row>
    <row r="31" spans="4:11" x14ac:dyDescent="0.35">
      <c r="I31" s="12"/>
    </row>
    <row r="32" spans="4:11" ht="15" thickBot="1" x14ac:dyDescent="0.4">
      <c r="I32" s="12"/>
    </row>
    <row r="33" spans="4:9" ht="15" thickBot="1" x14ac:dyDescent="0.4">
      <c r="D33" s="15" t="s">
        <v>15</v>
      </c>
      <c r="E33" s="16"/>
      <c r="F33" s="16"/>
      <c r="G33" s="16"/>
      <c r="H33" s="16"/>
      <c r="I33" s="17"/>
    </row>
    <row r="34" spans="4:9" ht="15" thickBot="1" x14ac:dyDescent="0.4">
      <c r="D34" s="5" t="s">
        <v>1</v>
      </c>
      <c r="E34" s="5" t="s">
        <v>2</v>
      </c>
      <c r="F34" s="5" t="s">
        <v>3</v>
      </c>
      <c r="G34" s="5" t="s">
        <v>4</v>
      </c>
      <c r="H34" s="5" t="s">
        <v>5</v>
      </c>
      <c r="I34" s="14" t="s">
        <v>6</v>
      </c>
    </row>
    <row r="35" spans="4:9" x14ac:dyDescent="0.35">
      <c r="D35" s="18" t="s">
        <v>7</v>
      </c>
      <c r="E35" s="18">
        <f>AVERAGE(E7,E16,E25)</f>
        <v>100</v>
      </c>
      <c r="F35" s="36">
        <f>AVERAGE(F7,F16,F25)</f>
        <v>65.666666666666671</v>
      </c>
      <c r="G35" s="19">
        <f>AVERAGE(G7,G16,G25)</f>
        <v>0.65666666666666662</v>
      </c>
      <c r="H35" s="35">
        <f>AVERAGE(H7,H16,H25)</f>
        <v>7.8066666666666675</v>
      </c>
      <c r="I35" s="20">
        <f>AVERAGE(I7,I16,I25)</f>
        <v>780.79333333333341</v>
      </c>
    </row>
    <row r="36" spans="4:9" x14ac:dyDescent="0.35">
      <c r="D36" s="21" t="s">
        <v>8</v>
      </c>
      <c r="E36" s="18">
        <f t="shared" ref="E36:I40" si="2">AVERAGE(E8,E17,E26)</f>
        <v>100</v>
      </c>
      <c r="F36" s="36">
        <f t="shared" si="2"/>
        <v>54</v>
      </c>
      <c r="G36" s="19">
        <f t="shared" si="2"/>
        <v>0.54</v>
      </c>
      <c r="H36" s="35">
        <f t="shared" si="2"/>
        <v>210.92999999999998</v>
      </c>
      <c r="I36" s="20">
        <f t="shared" si="2"/>
        <v>21092.923333333329</v>
      </c>
    </row>
    <row r="37" spans="4:9" x14ac:dyDescent="0.35">
      <c r="D37" s="22" t="s">
        <v>9</v>
      </c>
      <c r="E37" s="18">
        <f t="shared" si="2"/>
        <v>100</v>
      </c>
      <c r="F37" s="36">
        <f t="shared" si="2"/>
        <v>53</v>
      </c>
      <c r="G37" s="19">
        <f t="shared" si="2"/>
        <v>0.53</v>
      </c>
      <c r="H37" s="35">
        <f t="shared" si="2"/>
        <v>17.320000000000004</v>
      </c>
      <c r="I37" s="20">
        <f t="shared" si="2"/>
        <v>1732.3133333333335</v>
      </c>
    </row>
    <row r="38" spans="4:9" x14ac:dyDescent="0.35">
      <c r="D38" s="18" t="s">
        <v>10</v>
      </c>
      <c r="E38" s="18">
        <f t="shared" si="2"/>
        <v>100</v>
      </c>
      <c r="F38" s="36">
        <f t="shared" si="2"/>
        <v>77.666666666666671</v>
      </c>
      <c r="G38" s="19">
        <f t="shared" si="2"/>
        <v>0.77666666666666673</v>
      </c>
      <c r="H38" s="35">
        <f t="shared" si="2"/>
        <v>12.986666666666665</v>
      </c>
      <c r="I38" s="20">
        <f t="shared" si="2"/>
        <v>1298.6866666666667</v>
      </c>
    </row>
    <row r="39" spans="4:9" x14ac:dyDescent="0.35">
      <c r="D39" s="21" t="s">
        <v>11</v>
      </c>
      <c r="E39" s="18">
        <f t="shared" si="2"/>
        <v>100</v>
      </c>
      <c r="F39" s="36">
        <f t="shared" si="2"/>
        <v>63</v>
      </c>
      <c r="G39" s="19">
        <f t="shared" si="2"/>
        <v>0.63</v>
      </c>
      <c r="H39" s="35">
        <f t="shared" si="2"/>
        <v>1011.18</v>
      </c>
      <c r="I39" s="20">
        <f t="shared" si="2"/>
        <v>101117.90000000001</v>
      </c>
    </row>
    <row r="40" spans="4:9" ht="15" thickBot="1" x14ac:dyDescent="0.4">
      <c r="D40" s="23" t="s">
        <v>12</v>
      </c>
      <c r="E40" s="18">
        <f t="shared" si="2"/>
        <v>100</v>
      </c>
      <c r="F40" s="36">
        <f t="shared" si="2"/>
        <v>71</v>
      </c>
      <c r="G40" s="19">
        <f t="shared" si="2"/>
        <v>0.71</v>
      </c>
      <c r="H40" s="35">
        <f t="shared" si="2"/>
        <v>192.36</v>
      </c>
      <c r="I40" s="20">
        <f t="shared" si="2"/>
        <v>19235.866666666669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f136555-765b-4b1a-b316-525340316ec4" xsi:nil="true"/>
    <lcf76f155ced4ddcb4097134ff3c332f xmlns="5d55b3d5-c866-4089-81d1-4419affa2c4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03B5D38EA07441B442C3AB44D726DE" ma:contentTypeVersion="10" ma:contentTypeDescription="Create a new document." ma:contentTypeScope="" ma:versionID="0cb0bb33b6656357454cbf11b7be293f">
  <xsd:schema xmlns:xsd="http://www.w3.org/2001/XMLSchema" xmlns:xs="http://www.w3.org/2001/XMLSchema" xmlns:p="http://schemas.microsoft.com/office/2006/metadata/properties" xmlns:ns2="5d55b3d5-c866-4089-81d1-4419affa2c4b" xmlns:ns3="7f136555-765b-4b1a-b316-525340316ec4" targetNamespace="http://schemas.microsoft.com/office/2006/metadata/properties" ma:root="true" ma:fieldsID="40bcf14f2e1afff745b6656e2fba4710" ns2:_="" ns3:_="">
    <xsd:import namespace="5d55b3d5-c866-4089-81d1-4419affa2c4b"/>
    <xsd:import namespace="7f136555-765b-4b1a-b316-525340316e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55b3d5-c866-4089-81d1-4419affa2c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136555-765b-4b1a-b316-525340316ec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4a0dcb5-51de-43a8-bb1e-7cff8be3ac14}" ma:internalName="TaxCatchAll" ma:showField="CatchAllData" ma:web="7f136555-765b-4b1a-b316-525340316ec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925A8F9-2A91-405F-9402-433D927A6150}">
  <ds:schemaRefs>
    <ds:schemaRef ds:uri="http://purl.org/dc/dcmitype/"/>
    <ds:schemaRef ds:uri="http://schemas.microsoft.com/office/2006/documentManagement/types"/>
    <ds:schemaRef ds:uri="http://purl.org/dc/terms/"/>
    <ds:schemaRef ds:uri="7f136555-765b-4b1a-b316-525340316ec4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5d55b3d5-c866-4089-81d1-4419affa2c4b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486BEF6-EDA9-46C0-8BA9-707054D8075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90154B6-370A-481C-94E3-DBFE9C4638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55b3d5-c866-4089-81d1-4419affa2c4b"/>
    <ds:schemaRef ds:uri="7f136555-765b-4b1a-b316-525340316e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Jens-Joachim Jensen</cp:lastModifiedBy>
  <cp:revision/>
  <dcterms:created xsi:type="dcterms:W3CDTF">2026-04-14T11:04:15Z</dcterms:created>
  <dcterms:modified xsi:type="dcterms:W3CDTF">2026-05-01T07:44:22Z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0x010100C003B5D38EA07441B442C3AB44D726DE</vt:lpwstr>
  </property>
  <property fmtid="{D5CDD505-2E9C-101B-9397-08002B2CF9AE}" pid="3" name="MediaServiceImageTags">
    <vt:lpwstr/>
  </property>
</Properties>
</file>