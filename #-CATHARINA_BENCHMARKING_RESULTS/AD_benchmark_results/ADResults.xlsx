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.sharepoint.com/sites/o365_BachelorBoys2026/Shared Documents/General/Test results/AD/"/>
    </mc:Choice>
  </mc:AlternateContent>
  <xr:revisionPtr revIDLastSave="107" documentId="11_0796A02DAE215CE432732579B758DBBAB5479A28" xr6:coauthVersionLast="47" xr6:coauthVersionMax="47" xr10:uidLastSave="{8A8CDA7E-8696-6E46-980C-E2994AB82A2F}"/>
  <bookViews>
    <workbookView xWindow="0" yWindow="660" windowWidth="19420" windowHeight="1030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1" i="1"/>
  <c r="E12" i="1"/>
  <c r="E13" i="1"/>
  <c r="E14" i="1"/>
  <c r="E15" i="1"/>
  <c r="E16" i="1"/>
  <c r="E11" i="1"/>
  <c r="D20" i="1"/>
  <c r="D21" i="1"/>
  <c r="D22" i="1"/>
  <c r="D23" i="1"/>
  <c r="D24" i="1"/>
  <c r="D19" i="1"/>
  <c r="C20" i="1"/>
  <c r="C21" i="1"/>
  <c r="C22" i="1"/>
  <c r="C23" i="1"/>
  <c r="C24" i="1"/>
  <c r="C19" i="1"/>
  <c r="B20" i="1"/>
  <c r="B21" i="1"/>
  <c r="B22" i="1"/>
  <c r="B23" i="1"/>
  <c r="B24" i="1"/>
  <c r="B19" i="1"/>
</calcChain>
</file>

<file path=xl/sharedStrings.xml><?xml version="1.0" encoding="utf-8"?>
<sst xmlns="http://schemas.openxmlformats.org/spreadsheetml/2006/main" count="46" uniqueCount="16">
  <si>
    <t>Model Name</t>
  </si>
  <si>
    <t>Successful Extractions</t>
  </si>
  <si>
    <t>Average Score</t>
  </si>
  <si>
    <t>Average Time (s)</t>
  </si>
  <si>
    <t>gemma3_12b</t>
  </si>
  <si>
    <t>qwen3-vl_8b</t>
  </si>
  <si>
    <t>ministral-3_14b</t>
  </si>
  <si>
    <t>ministral-3_8b</t>
  </si>
  <si>
    <t>qwen3-vl_32b</t>
  </si>
  <si>
    <t>llama4_16x17b</t>
  </si>
  <si>
    <t>Run 1</t>
  </si>
  <si>
    <t>Run 2</t>
  </si>
  <si>
    <t>Average</t>
  </si>
  <si>
    <t>Standardavvik average score</t>
  </si>
  <si>
    <t>standardavvik average time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</si>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</sst>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Active</a:t>
            </a:r>
            <a:r>
              <a:rPr lang="en-GB" sz="2000" baseline="0"/>
              <a:t> Directory</a:t>
            </a:r>
            <a:r>
              <a:rPr lang="en-GB" sz="2000"/>
              <a:t> LLM-As-A-Judge</a:t>
            </a:r>
            <a:r>
              <a:rPr lang="en-GB" sz="2000" baseline="0"/>
              <a:t> Test Results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3851320708717E-2"/>
                  <c:y val="-9.671082728881733E-2"/>
                </c:manualLayout>
              </c:layout>
              <c:tx>
                <c:rich>
                  <a:bodyPr/>
                  <a:lstStyle/>
                  <a:p>
                    <a:fld id="{B8DA233B-9B87-2446-B507-00278F646D2B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00D-4DF1-BCF3-1954F71ABB63}"/>
                </c:ext>
              </c:extLst>
            </c:dLbl>
            <c:dLbl>
              <c:idx val="1"/>
              <c:layout>
                <c:manualLayout>
                  <c:x val="-0.19289707604268028"/>
                  <c:y val="-4.7078116516434301E-2"/>
                </c:manualLayout>
              </c:layout>
              <c:tx>
                <c:rich>
                  <a:bodyPr/>
                  <a:lstStyle/>
                  <a:p>
                    <a:fld id="{E7762C8E-9B6F-964A-9E9B-B16AF3A2FAF2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00D-4DF1-BCF3-1954F71ABB63}"/>
                </c:ext>
              </c:extLst>
            </c:dLbl>
            <c:dLbl>
              <c:idx val="2"/>
              <c:layout>
                <c:manualLayout>
                  <c:x val="-0.12337415211073209"/>
                  <c:y val="-0.16368052109673034"/>
                </c:manualLayout>
              </c:layout>
              <c:tx>
                <c:rich>
                  <a:bodyPr/>
                  <a:lstStyle/>
                  <a:p>
                    <a:fld id="{AEDE80A2-7906-9042-840A-5AFF82592360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00D-4DF1-BCF3-1954F71ABB63}"/>
                </c:ext>
              </c:extLst>
            </c:dLbl>
            <c:dLbl>
              <c:idx val="3"/>
              <c:layout>
                <c:manualLayout>
                  <c:x val="-3.6610168201440974E-2"/>
                  <c:y val="-0.1080293734561346"/>
                </c:manualLayout>
              </c:layout>
              <c:tx>
                <c:rich>
                  <a:bodyPr/>
                  <a:lstStyle/>
                  <a:p>
                    <a:fld id="{CD2FC543-4301-0F48-B95A-E52E328B3946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00D-4DF1-BCF3-1954F71ABB63}"/>
                </c:ext>
              </c:extLst>
            </c:dLbl>
            <c:dLbl>
              <c:idx val="4"/>
              <c:layout>
                <c:manualLayout>
                  <c:x val="-0.22198556098650102"/>
                  <c:y val="-1.5277460721808101E-2"/>
                </c:manualLayout>
              </c:layout>
              <c:tx>
                <c:rich>
                  <a:bodyPr/>
                  <a:lstStyle/>
                  <a:p>
                    <a:fld id="{885D120C-5B75-5A40-8D0B-5A1378A4966C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00D-4DF1-BCF3-1954F71ABB63}"/>
                </c:ext>
              </c:extLst>
            </c:dLbl>
            <c:dLbl>
              <c:idx val="5"/>
              <c:layout>
                <c:manualLayout>
                  <c:x val="-0.10013396238143504"/>
                  <c:y val="-0.11332948275523896"/>
                </c:manualLayout>
              </c:layout>
              <c:tx>
                <c:rich>
                  <a:bodyPr/>
                  <a:lstStyle/>
                  <a:p>
                    <a:fld id="{772B24E6-D8A5-D14C-9D46-9C626F95A38C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00D-4DF1-BCF3-1954F71AB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'Ark1'!$E$11:$E$16</c:f>
                <c:numCache>
                  <c:formatCode>General</c:formatCode>
                  <c:ptCount val="6"/>
                  <c:pt idx="0">
                    <c:v>2.3094010767585049E-2</c:v>
                  </c:pt>
                  <c:pt idx="1">
                    <c:v>7.0000000000000062E-2</c:v>
                  </c:pt>
                  <c:pt idx="2">
                    <c:v>4.6188021535170098E-2</c:v>
                  </c:pt>
                  <c:pt idx="3">
                    <c:v>0.22271057451320089</c:v>
                  </c:pt>
                  <c:pt idx="4">
                    <c:v>4.6188021535170098E-2</c:v>
                  </c:pt>
                  <c:pt idx="5">
                    <c:v>0.22030282189144407</c:v>
                  </c:pt>
                </c:numCache>
              </c:numRef>
            </c:plus>
            <c:minus>
              <c:numRef>
                <c:f>'Ark1'!$E$11:$E$16</c:f>
                <c:numCache>
                  <c:formatCode>General</c:formatCode>
                  <c:ptCount val="6"/>
                  <c:pt idx="0">
                    <c:v>2.3094010767585049E-2</c:v>
                  </c:pt>
                  <c:pt idx="1">
                    <c:v>7.0000000000000062E-2</c:v>
                  </c:pt>
                  <c:pt idx="2">
                    <c:v>4.6188021535170098E-2</c:v>
                  </c:pt>
                  <c:pt idx="3">
                    <c:v>0.22271057451320089</c:v>
                  </c:pt>
                  <c:pt idx="4">
                    <c:v>4.6188021535170098E-2</c:v>
                  </c:pt>
                  <c:pt idx="5">
                    <c:v>0.22030282189144407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'Ark1'!$F$11:$F$16</c:f>
                <c:numCache>
                  <c:formatCode>General</c:formatCode>
                  <c:ptCount val="6"/>
                  <c:pt idx="0">
                    <c:v>0.93872253621610935</c:v>
                  </c:pt>
                  <c:pt idx="1">
                    <c:v>7.6537332938464298</c:v>
                  </c:pt>
                  <c:pt idx="2">
                    <c:v>2.5582285537717926</c:v>
                  </c:pt>
                  <c:pt idx="3">
                    <c:v>0.43485629810317794</c:v>
                  </c:pt>
                  <c:pt idx="4">
                    <c:v>79.907539068601025</c:v>
                  </c:pt>
                  <c:pt idx="5">
                    <c:v>11.980851388778675</c:v>
                  </c:pt>
                </c:numCache>
              </c:numRef>
            </c:plus>
            <c:minus>
              <c:numRef>
                <c:f>'Ark1'!$F$11:$F$16</c:f>
                <c:numCache>
                  <c:formatCode>General</c:formatCode>
                  <c:ptCount val="6"/>
                  <c:pt idx="0">
                    <c:v>0.93872253621610935</c:v>
                  </c:pt>
                  <c:pt idx="1">
                    <c:v>7.6537332938464298</c:v>
                  </c:pt>
                  <c:pt idx="2">
                    <c:v>2.5582285537717926</c:v>
                  </c:pt>
                  <c:pt idx="3">
                    <c:v>0.43485629810317794</c:v>
                  </c:pt>
                  <c:pt idx="4">
                    <c:v>79.907539068601025</c:v>
                  </c:pt>
                  <c:pt idx="5">
                    <c:v>11.980851388778675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'Ark1'!$C$19:$C$24</c:f>
              <c:numCache>
                <c:formatCode>General</c:formatCode>
                <c:ptCount val="6"/>
                <c:pt idx="0">
                  <c:v>1.1066666666666667</c:v>
                </c:pt>
                <c:pt idx="1">
                  <c:v>2.36</c:v>
                </c:pt>
                <c:pt idx="2">
                  <c:v>2.6266666666666669</c:v>
                </c:pt>
                <c:pt idx="3">
                  <c:v>2.64</c:v>
                </c:pt>
                <c:pt idx="4">
                  <c:v>2.5733333333333337</c:v>
                </c:pt>
                <c:pt idx="5">
                  <c:v>2.1466666666666665</c:v>
                </c:pt>
              </c:numCache>
            </c:numRef>
          </c:xVal>
          <c:yVal>
            <c:numRef>
              <c:f>'Ark1'!$D$19:$D$24</c:f>
              <c:numCache>
                <c:formatCode>General</c:formatCode>
                <c:ptCount val="6"/>
                <c:pt idx="0">
                  <c:v>33.380000000000003</c:v>
                </c:pt>
                <c:pt idx="1">
                  <c:v>122.07666666666667</c:v>
                </c:pt>
                <c:pt idx="2">
                  <c:v>79.706666666666663</c:v>
                </c:pt>
                <c:pt idx="3">
                  <c:v>54.79</c:v>
                </c:pt>
                <c:pt idx="4">
                  <c:v>701.93999999999994</c:v>
                </c:pt>
                <c:pt idx="5">
                  <c:v>215.76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'Ark1'!$A$19:$A$24</c15:f>
                <c15:dlblRangeCache>
                  <c:ptCount val="6"/>
                  <c:pt idx="0">
                    <c:v>gemma3_12b</c:v>
                  </c:pt>
                  <c:pt idx="1">
                    <c:v>qwen3-vl_8b</c:v>
                  </c:pt>
                  <c:pt idx="2">
                    <c:v>ministral-3_14b</c:v>
                  </c:pt>
                  <c:pt idx="3">
                    <c:v>ministral-3_8b</c:v>
                  </c:pt>
                  <c:pt idx="4">
                    <c:v>qwen3-vl_32b</c:v>
                  </c:pt>
                  <c:pt idx="5">
                    <c:v>llama4_16x17b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0D-4DF1-BCF3-1954F71AB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5554063"/>
        <c:axId val="1315552623"/>
      </c:scatterChart>
      <c:valAx>
        <c:axId val="131555406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Score (1-5)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52623"/>
        <c:crosses val="autoZero"/>
        <c:crossBetween val="midCat"/>
      </c:valAx>
      <c:valAx>
        <c:axId val="1315552623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5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Active</a:t>
            </a:r>
            <a:r>
              <a:rPr lang="en-GB" sz="2000" baseline="0"/>
              <a:t> Directory</a:t>
            </a:r>
            <a:r>
              <a:rPr lang="en-GB" sz="2000"/>
              <a:t> LLM-As-A-Judge</a:t>
            </a:r>
            <a:r>
              <a:rPr lang="en-GB" sz="2000" baseline="0"/>
              <a:t> Test Results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11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3851320708717E-2"/>
                  <c:y val="-9.671082728881733E-2"/>
                </c:manualLayout>
              </c:layout>
              <c:tx>
                <c:rich>
                  <a:bodyPr/>
                  <a:lstStyle/>
                  <a:p>
                    <a:fld id="{1211966B-B608-834D-8D57-B314350D52C1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00D-4DF1-BCF3-1954F71ABB63}"/>
                </c:ext>
              </c:extLst>
            </c:dLbl>
            <c:dLbl>
              <c:idx val="1"/>
              <c:layout>
                <c:manualLayout>
                  <c:x val="-0.19289707604268028"/>
                  <c:y val="-4.7078116516434301E-2"/>
                </c:manualLayout>
              </c:layout>
              <c:tx>
                <c:rich>
                  <a:bodyPr/>
                  <a:lstStyle/>
                  <a:p>
                    <a:fld id="{15DDE1C0-32D7-5B43-BD75-9B6D3AA3F1E8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00D-4DF1-BCF3-1954F71ABB63}"/>
                </c:ext>
              </c:extLst>
            </c:dLbl>
            <c:dLbl>
              <c:idx val="2"/>
              <c:layout>
                <c:manualLayout>
                  <c:x val="-0.12337415211073209"/>
                  <c:y val="-0.16368052109673034"/>
                </c:manualLayout>
              </c:layout>
              <c:tx>
                <c:rich>
                  <a:bodyPr/>
                  <a:lstStyle/>
                  <a:p>
                    <a:fld id="{88CF2C17-46AD-FF43-90EB-2946407EC870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00D-4DF1-BCF3-1954F71ABB63}"/>
                </c:ext>
              </c:extLst>
            </c:dLbl>
            <c:dLbl>
              <c:idx val="3"/>
              <c:layout>
                <c:manualLayout>
                  <c:x val="-3.6610168201440974E-2"/>
                  <c:y val="-0.1080293734561346"/>
                </c:manualLayout>
              </c:layout>
              <c:tx>
                <c:rich>
                  <a:bodyPr/>
                  <a:lstStyle/>
                  <a:p>
                    <a:fld id="{CC7A543B-9531-4D44-86BB-988128EA13D8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00D-4DF1-BCF3-1954F71ABB63}"/>
                </c:ext>
              </c:extLst>
            </c:dLbl>
            <c:dLbl>
              <c:idx val="4"/>
              <c:layout>
                <c:manualLayout>
                  <c:x val="-0.22198556098650102"/>
                  <c:y val="-1.5277460721808101E-2"/>
                </c:manualLayout>
              </c:layout>
              <c:tx>
                <c:rich>
                  <a:bodyPr/>
                  <a:lstStyle/>
                  <a:p>
                    <a:fld id="{940721FD-B7B5-0B4E-8364-F605226401E4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00D-4DF1-BCF3-1954F71ABB63}"/>
                </c:ext>
              </c:extLst>
            </c:dLbl>
            <c:dLbl>
              <c:idx val="5"/>
              <c:layout>
                <c:manualLayout>
                  <c:x val="-0.10013396238143504"/>
                  <c:y val="-0.11332948275523896"/>
                </c:manualLayout>
              </c:layout>
              <c:tx>
                <c:rich>
                  <a:bodyPr/>
                  <a:lstStyle/>
                  <a:p>
                    <a:fld id="{0A414539-7765-DE49-9612-52D9A8B8F189}" type="CELLRANGE">
                      <a:rPr lang="en-US"/>
                      <a:pPr/>
                      <a:t>[CELLEOMRÅDE]</a:t>
                    </a:fld>
                    <a:endParaRPr lang="nb-NO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00D-4DF1-BCF3-1954F71AB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'Ark1'!$E$11:$E$16</c:f>
                <c:numCache>
                  <c:formatCode>General</c:formatCode>
                  <c:ptCount val="6"/>
                  <c:pt idx="0">
                    <c:v>2.3094010767585049E-2</c:v>
                  </c:pt>
                  <c:pt idx="1">
                    <c:v>7.0000000000000062E-2</c:v>
                  </c:pt>
                  <c:pt idx="2">
                    <c:v>4.6188021535170098E-2</c:v>
                  </c:pt>
                  <c:pt idx="3">
                    <c:v>0.22271057451320089</c:v>
                  </c:pt>
                  <c:pt idx="4">
                    <c:v>4.6188021535170098E-2</c:v>
                  </c:pt>
                  <c:pt idx="5">
                    <c:v>0.22030282189144407</c:v>
                  </c:pt>
                </c:numCache>
              </c:numRef>
            </c:plus>
            <c:minus>
              <c:numRef>
                <c:f>'Ark1'!$E$11:$E$16</c:f>
                <c:numCache>
                  <c:formatCode>General</c:formatCode>
                  <c:ptCount val="6"/>
                  <c:pt idx="0">
                    <c:v>2.3094010767585049E-2</c:v>
                  </c:pt>
                  <c:pt idx="1">
                    <c:v>7.0000000000000062E-2</c:v>
                  </c:pt>
                  <c:pt idx="2">
                    <c:v>4.6188021535170098E-2</c:v>
                  </c:pt>
                  <c:pt idx="3">
                    <c:v>0.22271057451320089</c:v>
                  </c:pt>
                  <c:pt idx="4">
                    <c:v>4.6188021535170098E-2</c:v>
                  </c:pt>
                  <c:pt idx="5">
                    <c:v>0.22030282189144407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'Ark1'!$F$11:$F$16</c:f>
                <c:numCache>
                  <c:formatCode>General</c:formatCode>
                  <c:ptCount val="6"/>
                  <c:pt idx="0">
                    <c:v>0.93872253621610935</c:v>
                  </c:pt>
                  <c:pt idx="1">
                    <c:v>7.6537332938464298</c:v>
                  </c:pt>
                  <c:pt idx="2">
                    <c:v>2.5582285537717926</c:v>
                  </c:pt>
                  <c:pt idx="3">
                    <c:v>0.43485629810317794</c:v>
                  </c:pt>
                  <c:pt idx="4">
                    <c:v>79.907539068601025</c:v>
                  </c:pt>
                  <c:pt idx="5">
                    <c:v>11.980851388778675</c:v>
                  </c:pt>
                </c:numCache>
              </c:numRef>
            </c:plus>
            <c:minus>
              <c:numRef>
                <c:f>'Ark1'!$F$11:$F$16</c:f>
                <c:numCache>
                  <c:formatCode>General</c:formatCode>
                  <c:ptCount val="6"/>
                  <c:pt idx="0">
                    <c:v>0.93872253621610935</c:v>
                  </c:pt>
                  <c:pt idx="1">
                    <c:v>7.6537332938464298</c:v>
                  </c:pt>
                  <c:pt idx="2">
                    <c:v>2.5582285537717926</c:v>
                  </c:pt>
                  <c:pt idx="3">
                    <c:v>0.43485629810317794</c:v>
                  </c:pt>
                  <c:pt idx="4">
                    <c:v>79.907539068601025</c:v>
                  </c:pt>
                  <c:pt idx="5">
                    <c:v>11.980851388778675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'Ark1'!$C$19:$C$24</c:f>
              <c:numCache>
                <c:formatCode>General</c:formatCode>
                <c:ptCount val="6"/>
                <c:pt idx="0">
                  <c:v>1.1066666666666667</c:v>
                </c:pt>
                <c:pt idx="1">
                  <c:v>2.36</c:v>
                </c:pt>
                <c:pt idx="2">
                  <c:v>2.6266666666666669</c:v>
                </c:pt>
                <c:pt idx="3">
                  <c:v>2.64</c:v>
                </c:pt>
                <c:pt idx="4">
                  <c:v>2.5733333333333337</c:v>
                </c:pt>
                <c:pt idx="5">
                  <c:v>2.1466666666666665</c:v>
                </c:pt>
              </c:numCache>
            </c:numRef>
          </c:xVal>
          <c:yVal>
            <c:numRef>
              <c:f>'Ark1'!$D$19:$D$24</c:f>
              <c:numCache>
                <c:formatCode>General</c:formatCode>
                <c:ptCount val="6"/>
                <c:pt idx="0">
                  <c:v>33.380000000000003</c:v>
                </c:pt>
                <c:pt idx="1">
                  <c:v>122.07666666666667</c:v>
                </c:pt>
                <c:pt idx="2">
                  <c:v>79.706666666666663</c:v>
                </c:pt>
                <c:pt idx="3">
                  <c:v>54.79</c:v>
                </c:pt>
                <c:pt idx="4">
                  <c:v>701.93999999999994</c:v>
                </c:pt>
                <c:pt idx="5">
                  <c:v>215.76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'Ark1'!$A$19:$A$24</c15:f>
                <c15:dlblRangeCache>
                  <c:ptCount val="6"/>
                  <c:pt idx="0">
                    <c:v>gemma3_12b</c:v>
                  </c:pt>
                  <c:pt idx="1">
                    <c:v>qwen3-vl_8b</c:v>
                  </c:pt>
                  <c:pt idx="2">
                    <c:v>ministral-3_14b</c:v>
                  </c:pt>
                  <c:pt idx="3">
                    <c:v>ministral-3_8b</c:v>
                  </c:pt>
                  <c:pt idx="4">
                    <c:v>qwen3-vl_32b</c:v>
                  </c:pt>
                  <c:pt idx="5">
                    <c:v>llama4_16x17b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0D-4DF1-BCF3-1954F71AB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5554063"/>
        <c:axId val="1315552623"/>
      </c:scatterChart>
      <c:valAx>
        <c:axId val="131555406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Score (1-5)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52623"/>
        <c:crosses val="autoZero"/>
        <c:crossBetween val="midCat"/>
      </c:valAx>
      <c:valAx>
        <c:axId val="1315552623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5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575120</xdr:colOff>
      <xdr:row>18</xdr:row>
      <xdr:rowOff>60438</xdr:rowOff>
    </xdr:from>
    <xdr:to>
      <xdr:col>15</xdr:col>
      <xdr:colOff>406624</xdr:colOff>
      <xdr:row>46</xdr:row>
      <xdr:rowOff>151725</xdr:rowOff>
    </xdr:to>
    <xdr:graphicFrame macro="">
      <xdr:nvGraphicFramePr>
        <xdr:cNvPr id="3" name="Diagram 1">
          <a:extLst>
            <a:ext uri="{FF2B5EF4-FFF2-40B4-BE49-F238E27FC236}">
              <a16:creationId xmlns:a16="http://schemas.microsoft.com/office/drawing/2014/main" id="{384600B1-9312-CBC6-3C38-49EB76EC0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794086</xdr:colOff>
      <xdr:row>18</xdr:row>
      <xdr:rowOff>60438</xdr:rowOff>
    </xdr:from>
    <xdr:to>
      <xdr:col>15</xdr:col>
      <xdr:colOff>625590</xdr:colOff>
      <xdr:row>46</xdr:row>
      <xdr:rowOff>151725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1848469-1536-13B8-AB80-D08536BE0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1" zoomScale="58" workbookViewId="0">
      <selection activeCell="B32" sqref="B32"/>
    </sheetView>
  </sheetViews>
  <sheetFormatPr baseColWidth="10" defaultColWidth="8.6640625" defaultRowHeight="15" x14ac:dyDescent="0.2"/>
  <cols>
    <col min="1" max="1" width="15" bestFit="1" customWidth="1"/>
    <col min="2" max="2" width="19.5" bestFit="1" customWidth="1"/>
    <col min="3" max="3" width="13.33203125" bestFit="1" customWidth="1"/>
    <col min="4" max="4" width="15.33203125" bestFit="1" customWidth="1"/>
    <col min="5" max="5" width="25.5" bestFit="1" customWidth="1"/>
    <col min="6" max="6" width="24.83203125" bestFit="1" customWidth="1"/>
    <col min="7" max="7" width="13.33203125" bestFit="1" customWidth="1"/>
    <col min="8" max="8" width="15.33203125" bestFit="1" customWidth="1"/>
  </cols>
  <sheetData>
    <row r="1" spans="1:8" x14ac:dyDescent="0.2">
      <c r="A1" s="3" t="s">
        <v>10</v>
      </c>
      <c r="B1" s="1"/>
      <c r="C1" s="1"/>
      <c r="D1" s="1"/>
      <c r="E1" s="3" t="s">
        <v>15</v>
      </c>
      <c r="F1" s="1"/>
      <c r="G1" s="1"/>
      <c r="H1" s="1"/>
    </row>
    <row r="2" spans="1:8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0</v>
      </c>
      <c r="F2" s="4" t="s">
        <v>1</v>
      </c>
      <c r="G2" s="4" t="s">
        <v>2</v>
      </c>
      <c r="H2" s="4" t="s">
        <v>3</v>
      </c>
    </row>
    <row r="3" spans="1:8" x14ac:dyDescent="0.2">
      <c r="A3" s="2" t="s">
        <v>4</v>
      </c>
      <c r="B3" s="2">
        <v>25</v>
      </c>
      <c r="C3" s="2">
        <v>1.1200000000000001</v>
      </c>
      <c r="D3" s="2">
        <v>34</v>
      </c>
      <c r="E3" s="2" t="s">
        <v>4</v>
      </c>
      <c r="F3" s="2">
        <v>25</v>
      </c>
      <c r="G3" s="2">
        <v>1.1200000000000001</v>
      </c>
      <c r="H3" s="2">
        <v>33.840000000000003</v>
      </c>
    </row>
    <row r="4" spans="1:8" x14ac:dyDescent="0.2">
      <c r="A4" s="2" t="s">
        <v>5</v>
      </c>
      <c r="B4" s="2">
        <v>23</v>
      </c>
      <c r="C4" s="2">
        <v>2.4300000000000002</v>
      </c>
      <c r="D4" s="2">
        <v>117</v>
      </c>
      <c r="E4" s="2" t="s">
        <v>5</v>
      </c>
      <c r="F4" s="2">
        <v>25</v>
      </c>
      <c r="G4" s="2">
        <v>2.36</v>
      </c>
      <c r="H4" s="2">
        <v>130.88</v>
      </c>
    </row>
    <row r="5" spans="1:8" x14ac:dyDescent="0.2">
      <c r="A5" s="2" t="s">
        <v>6</v>
      </c>
      <c r="B5" s="2">
        <v>25</v>
      </c>
      <c r="C5" s="2">
        <v>2.6</v>
      </c>
      <c r="D5" s="2">
        <v>81</v>
      </c>
      <c r="E5" s="2" t="s">
        <v>6</v>
      </c>
      <c r="F5" s="2">
        <v>25</v>
      </c>
      <c r="G5" s="2">
        <v>2.68</v>
      </c>
      <c r="H5" s="2">
        <v>81.36</v>
      </c>
    </row>
    <row r="6" spans="1:8" x14ac:dyDescent="0.2">
      <c r="A6" s="2" t="s">
        <v>7</v>
      </c>
      <c r="B6" s="2">
        <v>25</v>
      </c>
      <c r="C6" s="2">
        <v>2.68</v>
      </c>
      <c r="D6" s="2">
        <v>55</v>
      </c>
      <c r="E6" s="2" t="s">
        <v>7</v>
      </c>
      <c r="F6" s="2">
        <v>25</v>
      </c>
      <c r="G6" s="2">
        <v>2.4</v>
      </c>
      <c r="H6" s="2">
        <v>55.08</v>
      </c>
    </row>
    <row r="7" spans="1:8" x14ac:dyDescent="0.2">
      <c r="A7" s="2" t="s">
        <v>8</v>
      </c>
      <c r="B7" s="2">
        <v>25</v>
      </c>
      <c r="C7" s="2">
        <v>2.52</v>
      </c>
      <c r="D7" s="2">
        <v>633</v>
      </c>
      <c r="E7" s="2" t="s">
        <v>8</v>
      </c>
      <c r="F7" s="2">
        <v>25</v>
      </c>
      <c r="G7" s="2">
        <v>2.6</v>
      </c>
      <c r="H7" s="2">
        <v>789.52</v>
      </c>
    </row>
    <row r="8" spans="1:8" x14ac:dyDescent="0.2">
      <c r="A8" s="2" t="s">
        <v>9</v>
      </c>
      <c r="B8" s="2">
        <v>25</v>
      </c>
      <c r="C8" s="2">
        <v>1.92</v>
      </c>
      <c r="D8" s="2">
        <v>213</v>
      </c>
      <c r="E8" s="2" t="s">
        <v>9</v>
      </c>
      <c r="F8" s="2">
        <v>25</v>
      </c>
      <c r="G8" s="2">
        <v>2.36</v>
      </c>
      <c r="H8" s="2">
        <v>228.88</v>
      </c>
    </row>
    <row r="9" spans="1:8" x14ac:dyDescent="0.2">
      <c r="A9" s="3" t="s">
        <v>11</v>
      </c>
      <c r="B9" s="1"/>
      <c r="C9" s="1"/>
      <c r="D9" s="1"/>
    </row>
    <row r="10" spans="1:8" x14ac:dyDescent="0.2">
      <c r="A10" s="4" t="s">
        <v>0</v>
      </c>
      <c r="B10" s="4" t="s">
        <v>1</v>
      </c>
      <c r="C10" s="4" t="s">
        <v>2</v>
      </c>
      <c r="D10" s="4" t="s">
        <v>3</v>
      </c>
      <c r="E10" s="4" t="s">
        <v>13</v>
      </c>
      <c r="F10" s="4" t="s">
        <v>14</v>
      </c>
    </row>
    <row r="11" spans="1:8" x14ac:dyDescent="0.2">
      <c r="A11" s="2" t="s">
        <v>4</v>
      </c>
      <c r="B11" s="2">
        <v>25</v>
      </c>
      <c r="C11" s="2">
        <v>1.08</v>
      </c>
      <c r="D11" s="2">
        <v>32.299999999999997</v>
      </c>
      <c r="E11">
        <f>STDEV(C3,C11,G3)</f>
        <v>2.3094010767585049E-2</v>
      </c>
      <c r="F11">
        <f>STDEV(D3,D11,H3)</f>
        <v>0.93872253621610935</v>
      </c>
    </row>
    <row r="12" spans="1:8" x14ac:dyDescent="0.2">
      <c r="A12" s="2" t="s">
        <v>5</v>
      </c>
      <c r="B12" s="2">
        <v>21</v>
      </c>
      <c r="C12" s="2">
        <v>2.29</v>
      </c>
      <c r="D12" s="2">
        <v>118.35</v>
      </c>
      <c r="E12">
        <f t="shared" ref="E12:E16" si="0">STDEV(C4,C12,G4)</f>
        <v>7.0000000000000062E-2</v>
      </c>
      <c r="F12">
        <f t="shared" ref="F12:F16" si="1">STDEV(D4,D12,H4)</f>
        <v>7.6537332938464298</v>
      </c>
    </row>
    <row r="13" spans="1:8" x14ac:dyDescent="0.2">
      <c r="A13" s="2" t="s">
        <v>6</v>
      </c>
      <c r="B13" s="2">
        <v>25</v>
      </c>
      <c r="C13" s="2">
        <v>2.6</v>
      </c>
      <c r="D13" s="2">
        <v>76.760000000000005</v>
      </c>
      <c r="E13">
        <f t="shared" si="0"/>
        <v>4.6188021535170098E-2</v>
      </c>
      <c r="F13">
        <f t="shared" si="1"/>
        <v>2.5582285537717926</v>
      </c>
    </row>
    <row r="14" spans="1:8" x14ac:dyDescent="0.2">
      <c r="A14" s="2" t="s">
        <v>7</v>
      </c>
      <c r="B14" s="2">
        <v>25</v>
      </c>
      <c r="C14" s="2">
        <v>2.84</v>
      </c>
      <c r="D14" s="2">
        <v>54.29</v>
      </c>
      <c r="E14">
        <f t="shared" si="0"/>
        <v>0.22271057451320089</v>
      </c>
      <c r="F14">
        <f t="shared" si="1"/>
        <v>0.43485629810317794</v>
      </c>
    </row>
    <row r="15" spans="1:8" x14ac:dyDescent="0.2">
      <c r="A15" s="2" t="s">
        <v>8</v>
      </c>
      <c r="B15" s="2">
        <v>25</v>
      </c>
      <c r="C15" s="2">
        <v>2.6</v>
      </c>
      <c r="D15" s="2">
        <v>683.3</v>
      </c>
      <c r="E15">
        <f t="shared" si="0"/>
        <v>4.6188021535170098E-2</v>
      </c>
      <c r="F15">
        <f t="shared" si="1"/>
        <v>79.907539068601025</v>
      </c>
    </row>
    <row r="16" spans="1:8" x14ac:dyDescent="0.2">
      <c r="A16" s="2" t="s">
        <v>9</v>
      </c>
      <c r="B16" s="2">
        <v>25</v>
      </c>
      <c r="C16" s="2">
        <v>2.16</v>
      </c>
      <c r="D16" s="2">
        <v>205.4</v>
      </c>
      <c r="E16">
        <f t="shared" si="0"/>
        <v>0.22030282189144407</v>
      </c>
      <c r="F16">
        <f t="shared" si="1"/>
        <v>11.980851388778675</v>
      </c>
    </row>
    <row r="17" spans="1:4" x14ac:dyDescent="0.2">
      <c r="A17" s="3" t="s">
        <v>12</v>
      </c>
    </row>
    <row r="18" spans="1:4" x14ac:dyDescent="0.2">
      <c r="A18" s="4" t="s">
        <v>0</v>
      </c>
      <c r="B18" s="4" t="s">
        <v>1</v>
      </c>
      <c r="C18" s="4" t="s">
        <v>2</v>
      </c>
      <c r="D18" s="4" t="s">
        <v>3</v>
      </c>
    </row>
    <row r="19" spans="1:4" x14ac:dyDescent="0.2">
      <c r="A19" s="2" t="s">
        <v>4</v>
      </c>
      <c r="B19">
        <f>AVERAGE(B3,B11,F3)</f>
        <v>25</v>
      </c>
      <c r="C19">
        <f>AVERAGE(C3,C11,G3)</f>
        <v>1.1066666666666667</v>
      </c>
      <c r="D19">
        <f>AVERAGE(D3,D11,H3)</f>
        <v>33.380000000000003</v>
      </c>
    </row>
    <row r="20" spans="1:4" x14ac:dyDescent="0.2">
      <c r="A20" s="2" t="s">
        <v>5</v>
      </c>
      <c r="B20">
        <f>AVERAGE(B4,B12,F4)</f>
        <v>23</v>
      </c>
      <c r="C20">
        <f t="shared" ref="C20:C24" si="2">AVERAGE(C4,C12,G4)</f>
        <v>2.36</v>
      </c>
      <c r="D20">
        <f t="shared" ref="D20:D24" si="3">AVERAGE(D4,D12,H4)</f>
        <v>122.07666666666667</v>
      </c>
    </row>
    <row r="21" spans="1:4" x14ac:dyDescent="0.2">
      <c r="A21" s="2" t="s">
        <v>6</v>
      </c>
      <c r="B21">
        <f t="shared" ref="B21:B24" si="4">AVERAGE(B5,B13,F5)</f>
        <v>25</v>
      </c>
      <c r="C21">
        <f t="shared" si="2"/>
        <v>2.6266666666666669</v>
      </c>
      <c r="D21">
        <f t="shared" si="3"/>
        <v>79.706666666666663</v>
      </c>
    </row>
    <row r="22" spans="1:4" x14ac:dyDescent="0.2">
      <c r="A22" s="2" t="s">
        <v>7</v>
      </c>
      <c r="B22">
        <f t="shared" si="4"/>
        <v>25</v>
      </c>
      <c r="C22">
        <f t="shared" si="2"/>
        <v>2.64</v>
      </c>
      <c r="D22">
        <f t="shared" si="3"/>
        <v>54.79</v>
      </c>
    </row>
    <row r="23" spans="1:4" x14ac:dyDescent="0.2">
      <c r="A23" s="2" t="s">
        <v>8</v>
      </c>
      <c r="B23">
        <f t="shared" si="4"/>
        <v>25</v>
      </c>
      <c r="C23">
        <f t="shared" si="2"/>
        <v>2.5733333333333337</v>
      </c>
      <c r="D23">
        <f t="shared" si="3"/>
        <v>701.93999999999994</v>
      </c>
    </row>
    <row r="24" spans="1:4" x14ac:dyDescent="0.2">
      <c r="A24" s="2" t="s">
        <v>9</v>
      </c>
      <c r="B24">
        <f t="shared" si="4"/>
        <v>25</v>
      </c>
      <c r="C24">
        <f t="shared" si="2"/>
        <v>2.1466666666666665</v>
      </c>
      <c r="D24">
        <f t="shared" si="3"/>
        <v>215.76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3B5D38EA07441B442C3AB44D726DE" ma:contentTypeVersion="10" ma:contentTypeDescription="Create a new document." ma:contentTypeScope="" ma:versionID="0cb0bb33b6656357454cbf11b7be293f">
  <xsd:schema xmlns:xsd="http://www.w3.org/2001/XMLSchema" xmlns:xs="http://www.w3.org/2001/XMLSchema" xmlns:p="http://schemas.microsoft.com/office/2006/metadata/properties" xmlns:ns2="5d55b3d5-c866-4089-81d1-4419affa2c4b" xmlns:ns3="7f136555-765b-4b1a-b316-525340316ec4" targetNamespace="http://schemas.microsoft.com/office/2006/metadata/properties" ma:root="true" ma:fieldsID="40bcf14f2e1afff745b6656e2fba4710" ns2:_="" ns3:_="">
    <xsd:import namespace="5d55b3d5-c866-4089-81d1-4419affa2c4b"/>
    <xsd:import namespace="7f136555-765b-4b1a-b316-525340316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5b3d5-c866-4089-81d1-4419affa2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6555-765b-4b1a-b316-525340316e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a0dcb5-51de-43a8-bb1e-7cff8be3ac14}" ma:internalName="TaxCatchAll" ma:showField="CatchAllData" ma:web="7f136555-765b-4b1a-b316-525340316e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136555-765b-4b1a-b316-525340316ec4" xsi:nil="true"/>
    <lcf76f155ced4ddcb4097134ff3c332f xmlns="5d55b3d5-c866-4089-81d1-4419affa2c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4286D-7CC6-49D8-B807-EF5A28D83E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9B46A4-B091-41E0-B9D8-07FBC37A2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5b3d5-c866-4089-81d1-4419affa2c4b"/>
    <ds:schemaRef ds:uri="7f136555-765b-4b1a-b316-525340316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20B03C-5C4A-4D98-9D28-EDAD4A5DBCED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7f136555-765b-4b1a-b316-525340316ec4"/>
    <ds:schemaRef ds:uri="5d55b3d5-c866-4089-81d1-4419affa2c4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Torbjørn Hole Skofteland</cp:lastModifiedBy>
  <cp:revision/>
  <dcterms:created xsi:type="dcterms:W3CDTF">2026-04-22T11:20:19Z</dcterms:created>
  <dcterms:modified xsi:type="dcterms:W3CDTF">2026-05-02T11:36:55Z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0x010100C003B5D38EA07441B442C3AB44D726DE</vt:lpwstr>
  </property>
  <property fmtid="{D5CDD505-2E9C-101B-9397-08002B2CF9AE}" pid="3" name="MediaServiceImageTags">
    <vt:lpwstr/>
  </property>
</Properties>
</file>