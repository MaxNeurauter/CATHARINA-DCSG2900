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BachelorBoys2026/Shared Documents/General/Test results/CyberMetric/"/>
    </mc:Choice>
  </mc:AlternateContent>
  <xr:revisionPtr revIDLastSave="1830" documentId="8_{4F4CBAA6-35B3-524A-87DB-789A28A90EA4}" xr6:coauthVersionLast="47" xr6:coauthVersionMax="47" xr10:uidLastSave="{B759E784-91C4-4A5C-AB1D-42ABCE6A8372}"/>
  <bookViews>
    <workbookView xWindow="0" yWindow="660" windowWidth="29400" windowHeight="16600" xr2:uid="{1C8DD450-D363-9E4B-9120-CA0D62AEF2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Q25" i="1"/>
  <c r="Q26" i="1"/>
  <c r="Q27" i="1"/>
  <c r="Q28" i="1"/>
  <c r="Q29" i="1"/>
  <c r="Q24" i="1"/>
  <c r="H35" i="1"/>
  <c r="I35" i="1"/>
  <c r="H36" i="1"/>
  <c r="I36" i="1"/>
  <c r="H37" i="1"/>
  <c r="I37" i="1"/>
  <c r="H38" i="1"/>
  <c r="I38" i="1"/>
  <c r="H39" i="1"/>
  <c r="I39" i="1"/>
  <c r="I34" i="1"/>
  <c r="H34" i="1"/>
  <c r="Q16" i="1"/>
  <c r="Q17" i="1"/>
  <c r="N44" i="1" s="1"/>
  <c r="Q18" i="1"/>
  <c r="N45" i="1" s="1"/>
  <c r="Q19" i="1"/>
  <c r="N46" i="1" s="1"/>
  <c r="Q20" i="1"/>
  <c r="N47" i="1" s="1"/>
  <c r="Q15" i="1"/>
  <c r="N42" i="1" s="1"/>
  <c r="F35" i="1"/>
  <c r="E35" i="1"/>
  <c r="F34" i="1"/>
  <c r="G39" i="1"/>
  <c r="G38" i="1"/>
  <c r="G37" i="1"/>
  <c r="G36" i="1"/>
  <c r="G35" i="1"/>
  <c r="G34" i="1"/>
  <c r="E34" i="1"/>
  <c r="R25" i="1"/>
  <c r="R26" i="1"/>
  <c r="R27" i="1"/>
  <c r="R28" i="1"/>
  <c r="R29" i="1"/>
  <c r="R24" i="1"/>
  <c r="Q35" i="1"/>
  <c r="T36" i="1"/>
  <c r="T37" i="1"/>
  <c r="T34" i="1"/>
  <c r="R16" i="1"/>
  <c r="O43" i="1" s="1"/>
  <c r="R17" i="1"/>
  <c r="O44" i="1" s="1"/>
  <c r="R18" i="1"/>
  <c r="O45" i="1" s="1"/>
  <c r="R19" i="1"/>
  <c r="O46" i="1" s="1"/>
  <c r="R20" i="1"/>
  <c r="O47" i="1" s="1"/>
  <c r="R15" i="1"/>
  <c r="O42" i="1" s="1"/>
  <c r="Q37" i="1"/>
  <c r="S39" i="1"/>
  <c r="P39" i="1"/>
  <c r="S38" i="1"/>
  <c r="P38" i="1"/>
  <c r="S37" i="1"/>
  <c r="P37" i="1"/>
  <c r="S36" i="1"/>
  <c r="P36" i="1"/>
  <c r="S35" i="1"/>
  <c r="P35" i="1"/>
  <c r="S34" i="1"/>
  <c r="F36" i="1"/>
  <c r="F37" i="1"/>
  <c r="F38" i="1"/>
  <c r="F39" i="1"/>
  <c r="E36" i="1"/>
  <c r="E37" i="1"/>
  <c r="E38" i="1"/>
  <c r="E39" i="1"/>
  <c r="D35" i="1"/>
  <c r="D36" i="1"/>
  <c r="D37" i="1"/>
  <c r="D38" i="1"/>
  <c r="D39" i="1"/>
  <c r="D34" i="1"/>
  <c r="U38" i="1" l="1"/>
  <c r="U37" i="1"/>
  <c r="U36" i="1"/>
  <c r="U35" i="1"/>
  <c r="N43" i="1"/>
  <c r="T35" i="1"/>
  <c r="T39" i="1"/>
  <c r="T38" i="1"/>
  <c r="U34" i="1"/>
  <c r="R34" i="1"/>
  <c r="R39" i="1"/>
  <c r="U39" i="1"/>
  <c r="Q34" i="1"/>
  <c r="R38" i="1"/>
  <c r="Q39" i="1"/>
  <c r="R37" i="1"/>
  <c r="Q38" i="1"/>
  <c r="R36" i="1"/>
  <c r="Q36" i="1"/>
  <c r="R35" i="1"/>
</calcChain>
</file>

<file path=xl/sharedStrings.xml><?xml version="1.0" encoding="utf-8"?>
<sst xmlns="http://schemas.openxmlformats.org/spreadsheetml/2006/main" count="110" uniqueCount="20">
  <si>
    <t>CyberMecric 80 spm</t>
  </si>
  <si>
    <t>CyberMecric 500 spm</t>
  </si>
  <si>
    <t>Run 1</t>
  </si>
  <si>
    <t>Model</t>
  </si>
  <si>
    <t>Total Questions</t>
  </si>
  <si>
    <t>Correct Answers</t>
  </si>
  <si>
    <t>Final Accuracy</t>
  </si>
  <si>
    <t>Average Time per Question</t>
  </si>
  <si>
    <t>Total  Time</t>
  </si>
  <si>
    <t>ministral-3:8b</t>
  </si>
  <si>
    <t>qwen3-vl:8b</t>
  </si>
  <si>
    <t>gemma3:12b</t>
  </si>
  <si>
    <t>ministral-3:14b</t>
  </si>
  <si>
    <t>qwen3-vl:32b</t>
  </si>
  <si>
    <t>llama4:16x17b</t>
  </si>
  <si>
    <t>Run 2</t>
  </si>
  <si>
    <t>Run 3</t>
  </si>
  <si>
    <t>Average</t>
  </si>
  <si>
    <t>Standard avik accuracy</t>
  </si>
  <si>
    <t>Standard avik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</si>
</sst>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00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5" borderId="8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0" borderId="11" xfId="0" applyBorder="1"/>
    <xf numFmtId="10" fontId="0" fillId="0" borderId="7" xfId="0" applyNumberFormat="1" applyBorder="1"/>
    <xf numFmtId="10" fontId="0" fillId="0" borderId="8" xfId="0" applyNumberFormat="1" applyBorder="1"/>
    <xf numFmtId="10" fontId="0" fillId="3" borderId="7" xfId="0" applyNumberFormat="1" applyFill="1" applyBorder="1"/>
    <xf numFmtId="10" fontId="0" fillId="2" borderId="7" xfId="0" applyNumberFormat="1" applyFill="1" applyBorder="1"/>
    <xf numFmtId="10" fontId="0" fillId="4" borderId="7" xfId="0" applyNumberFormat="1" applyFill="1" applyBorder="1"/>
    <xf numFmtId="10" fontId="0" fillId="5" borderId="8" xfId="0" applyNumberFormat="1" applyFill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0" xfId="0" applyNumberFormat="1"/>
    <xf numFmtId="2" fontId="0" fillId="0" borderId="4" xfId="0" applyNumberFormat="1" applyBorder="1"/>
    <xf numFmtId="2" fontId="0" fillId="0" borderId="9" xfId="0" applyNumberFormat="1" applyBorder="1"/>
    <xf numFmtId="2" fontId="0" fillId="6" borderId="4" xfId="0" applyNumberFormat="1" applyFill="1" applyBorder="1"/>
    <xf numFmtId="2" fontId="0" fillId="3" borderId="5" xfId="0" applyNumberFormat="1" applyFill="1" applyBorder="1"/>
    <xf numFmtId="2" fontId="0" fillId="2" borderId="5" xfId="0" applyNumberFormat="1" applyFill="1" applyBorder="1"/>
    <xf numFmtId="2" fontId="0" fillId="4" borderId="5" xfId="0" applyNumberFormat="1" applyFill="1" applyBorder="1"/>
    <xf numFmtId="2" fontId="0" fillId="5" borderId="6" xfId="0" applyNumberFormat="1" applyFill="1" applyBorder="1"/>
    <xf numFmtId="165" fontId="0" fillId="0" borderId="7" xfId="0" applyNumberFormat="1" applyBorder="1"/>
    <xf numFmtId="0" fontId="0" fillId="0" borderId="12" xfId="0" applyBorder="1"/>
    <xf numFmtId="164" fontId="0" fillId="3" borderId="7" xfId="0" applyNumberFormat="1" applyFill="1" applyBorder="1"/>
    <xf numFmtId="164" fontId="0" fillId="2" borderId="7" xfId="0" applyNumberFormat="1" applyFill="1" applyBorder="1"/>
    <xf numFmtId="164" fontId="0" fillId="4" borderId="7" xfId="0" applyNumberFormat="1" applyFill="1" applyBorder="1"/>
    <xf numFmtId="164" fontId="0" fillId="5" borderId="8" xfId="0" applyNumberFormat="1" applyFill="1" applyBorder="1"/>
    <xf numFmtId="0" fontId="0" fillId="5" borderId="11" xfId="0" applyFill="1" applyBorder="1"/>
    <xf numFmtId="9" fontId="0" fillId="0" borderId="0" xfId="1" applyFont="1"/>
    <xf numFmtId="10" fontId="0" fillId="0" borderId="0" xfId="0" applyNumberFormat="1"/>
    <xf numFmtId="164" fontId="0" fillId="0" borderId="13" xfId="0" applyNumberFormat="1" applyBorder="1"/>
    <xf numFmtId="0" fontId="0" fillId="0" borderId="14" xfId="0" applyBorder="1"/>
    <xf numFmtId="164" fontId="0" fillId="0" borderId="5" xfId="0" applyNumberFormat="1" applyBorder="1"/>
    <xf numFmtId="0" fontId="0" fillId="0" borderId="15" xfId="0" applyBorder="1"/>
    <xf numFmtId="165" fontId="0" fillId="0" borderId="15" xfId="0" applyNumberFormat="1" applyBorder="1"/>
    <xf numFmtId="165" fontId="0" fillId="0" borderId="8" xfId="0" applyNumberFormat="1" applyBorder="1"/>
    <xf numFmtId="164" fontId="0" fillId="0" borderId="0" xfId="0" applyNumberFormat="1"/>
    <xf numFmtId="10" fontId="0" fillId="0" borderId="0" xfId="1" applyNumberFormat="1" applyFont="1"/>
    <xf numFmtId="0" fontId="0" fillId="7" borderId="2" xfId="0" applyFill="1" applyBorder="1"/>
    <xf numFmtId="166" fontId="0" fillId="2" borderId="7" xfId="0" applyNumberFormat="1" applyFill="1" applyBorder="1"/>
    <xf numFmtId="0" fontId="0" fillId="7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Sheet1!$E$33</c:f>
              <c:strCache>
                <c:ptCount val="1"/>
                <c:pt idx="0">
                  <c:v>Final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Sheet1!$B$34:$B$39</c:f>
              <c:strCache>
                <c:ptCount val="6"/>
                <c:pt idx="0">
                  <c:v>ministral-3:8b</c:v>
                </c:pt>
                <c:pt idx="1">
                  <c:v>qwen3-vl:8b</c:v>
                </c:pt>
                <c:pt idx="2">
                  <c:v>gemma3:12b</c:v>
                </c:pt>
                <c:pt idx="3">
                  <c:v>ministral-3:14b</c:v>
                </c:pt>
                <c:pt idx="4">
                  <c:v>qwen3-vl:32b</c:v>
                </c:pt>
                <c:pt idx="5">
                  <c:v>llama4:16x17b</c:v>
                </c:pt>
              </c:strCache>
            </c:strRef>
          </c:cat>
          <c:val>
            <c:numRef>
              <c:f>Sheet1!$E$34:$E$39</c:f>
              <c:numCache>
                <c:formatCode>0.00%</c:formatCode>
                <c:ptCount val="6"/>
                <c:pt idx="0">
                  <c:v>0.94583333333333341</c:v>
                </c:pt>
                <c:pt idx="1">
                  <c:v>0.95833333333333337</c:v>
                </c:pt>
                <c:pt idx="2">
                  <c:v>0.92500000000000016</c:v>
                </c:pt>
                <c:pt idx="3">
                  <c:v>0.91249999999999998</c:v>
                </c:pt>
                <c:pt idx="4">
                  <c:v>0.95833333333333337</c:v>
                </c:pt>
                <c:pt idx="5">
                  <c:v>0.84583333333333333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1-471D-8E52-705BA756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819488"/>
        <c:axId val="780828608"/>
      </c:barChart>
      <c:catAx>
        <c:axId val="78081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28608"/>
        <c:crosses val="autoZero"/>
        <c:auto val="1"/>
        <c:lblAlgn val="ctr"/>
        <c:lblOffset val="100"/>
        <c:noMultiLvlLbl val="0"/>
      </c:catAx>
      <c:valAx>
        <c:axId val="7808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1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 Time' by 'Final Accuracy'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8"/>
              <c:spPr>
                <a:solidFill>
                  <a:srgbClr val="FBE2D5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CDF-D448-AA6A-01161292A91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7A01108-CDEF-4E90-84DC-CF209CFE6B5F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63F740AA-5287-4777-BED0-D1E7127D027A}" type="Y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DF-D448-AA6A-01161292A91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7223F6-DCC1-4DC6-A243-BAD7331C6034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226D809F-D203-492D-9D2C-80A8767A637F}" type="Y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CDF-D448-AA6A-01161292A91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8C8F18-83F7-4EB7-B835-0C30C29582E3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2FE704DB-0D07-4DFE-9561-715F89171608}" type="Y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CDF-D448-AA6A-01161292A91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6A2C78-1078-4CEE-8295-F30715C5A729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329F25FB-FD2E-43E8-9DA0-AFA78E85896C}" type="Y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CDF-D448-AA6A-01161292A91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6E4D8A-0129-451A-BF91-DCFB18420382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57AF162B-823F-45D2-893F-1FF38FA052FE}" type="Y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CDF-D448-AA6A-01161292A91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1C8885-6BEE-4D2A-8F1E-615B97428843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336816CE-3C32-4033-92FF-B58C211F9B39}" type="Y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CCDF-D448-AA6A-01161292A9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Sheet1!$E$34:$E$39</c:f>
              <c:numCache>
                <c:formatCode>0.00%</c:formatCode>
                <c:ptCount val="6"/>
                <c:pt idx="0">
                  <c:v>0.94583333333333341</c:v>
                </c:pt>
                <c:pt idx="1">
                  <c:v>0.95833333333333337</c:v>
                </c:pt>
                <c:pt idx="2">
                  <c:v>0.92500000000000016</c:v>
                </c:pt>
                <c:pt idx="3">
                  <c:v>0.91249999999999998</c:v>
                </c:pt>
                <c:pt idx="4">
                  <c:v>0.95833333333333337</c:v>
                </c:pt>
                <c:pt idx="5">
                  <c:v>0.84583333333333333</c:v>
                </c:pt>
              </c:numCache>
            </c:numRef>
          </c:xVal>
          <c:yVal>
            <c:numRef>
              <c:f>Sheet1!$G$34:$G$39</c:f>
              <c:numCache>
                <c:formatCode>0.00</c:formatCode>
                <c:ptCount val="6"/>
                <c:pt idx="0">
                  <c:v>2.2032722222222225</c:v>
                </c:pt>
                <c:pt idx="1">
                  <c:v>60.521455555555555</c:v>
                </c:pt>
                <c:pt idx="2">
                  <c:v>2.7337666666666665</c:v>
                </c:pt>
                <c:pt idx="3">
                  <c:v>2.6652611111111115</c:v>
                </c:pt>
                <c:pt idx="4">
                  <c:v>283.97489444444443</c:v>
                </c:pt>
                <c:pt idx="5">
                  <c:v>117.04913333333333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D2C-4A03-B9A2-266B3216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382472"/>
        <c:axId val="1184405000"/>
      </c:scatterChart>
      <c:valAx>
        <c:axId val="118438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05000"/>
        <c:crosses val="autoZero"/>
        <c:crossBetween val="midCat"/>
      </c:valAx>
      <c:valAx>
        <c:axId val="118440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8247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CyberMetric</a:t>
            </a:r>
            <a:r>
              <a:rPr lang="en-US" sz="2000" baseline="0"/>
              <a:t> 80 Questions Test Results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3543770151829363E-2"/>
                  <c:y val="-8.2777682005498426E-2"/>
                </c:manualLayout>
              </c:layout>
              <c:tx>
                <c:rich>
                  <a:bodyPr/>
                  <a:lstStyle/>
                  <a:p>
                    <a:fld id="{1C9BA2FD-022B-9042-A157-2AE99B0D45B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7D0-4E7D-952F-50BC4D7D8176}"/>
                </c:ext>
              </c:extLst>
            </c:dLbl>
            <c:dLbl>
              <c:idx val="1"/>
              <c:layout>
                <c:manualLayout>
                  <c:x val="-6.4209693751946961E-2"/>
                  <c:y val="-7.8149025959471277E-2"/>
                </c:manualLayout>
              </c:layout>
              <c:tx>
                <c:rich>
                  <a:bodyPr/>
                  <a:lstStyle/>
                  <a:p>
                    <a:fld id="{66482E17-B123-F844-AEF2-C5CFA7284C5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7D0-4E7D-952F-50BC4D7D8176}"/>
                </c:ext>
              </c:extLst>
            </c:dLbl>
            <c:dLbl>
              <c:idx val="2"/>
              <c:layout>
                <c:manualLayout>
                  <c:x val="-7.5548496246292396E-2"/>
                  <c:y val="-0.15683617874193129"/>
                </c:manualLayout>
              </c:layout>
              <c:tx>
                <c:rich>
                  <a:bodyPr/>
                  <a:lstStyle/>
                  <a:p>
                    <a:fld id="{F3D31285-31E4-5445-8F63-A266581F67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7D0-4E7D-952F-50BC4D7D8176}"/>
                </c:ext>
              </c:extLst>
            </c:dLbl>
            <c:dLbl>
              <c:idx val="3"/>
              <c:layout>
                <c:manualLayout>
                  <c:x val="-0.10396810284593436"/>
                  <c:y val="-8.0463353982484734E-2"/>
                </c:manualLayout>
              </c:layout>
              <c:tx>
                <c:rich>
                  <a:bodyPr/>
                  <a:lstStyle/>
                  <a:p>
                    <a:fld id="{EB53E73B-1F3F-D448-8CCA-C186739161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7D0-4E7D-952F-50BC4D7D8176}"/>
                </c:ext>
              </c:extLst>
            </c:dLbl>
            <c:dLbl>
              <c:idx val="4"/>
              <c:layout>
                <c:manualLayout>
                  <c:x val="-6.933842644637063E-2"/>
                  <c:y val="-7.3520369913444128E-2"/>
                </c:manualLayout>
              </c:layout>
              <c:tx>
                <c:rich>
                  <a:bodyPr/>
                  <a:lstStyle/>
                  <a:p>
                    <a:fld id="{6154689D-BE7F-4E43-A929-EB14E943851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7D0-4E7D-952F-50BC4D7D8176}"/>
                </c:ext>
              </c:extLst>
            </c:dLbl>
            <c:dLbl>
              <c:idx val="5"/>
              <c:layout>
                <c:manualLayout>
                  <c:x val="-7.2304285751844985E-2"/>
                  <c:y val="-9.6663650143579458E-2"/>
                </c:manualLayout>
              </c:layout>
              <c:tx>
                <c:rich>
                  <a:bodyPr/>
                  <a:lstStyle/>
                  <a:p>
                    <a:fld id="{672B1799-3F32-5B42-9868-D1CA130F4E8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7D0-4E7D-952F-50BC4D7D81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Sheet1!$H$34:$H$39</c:f>
                <c:numCache>
                  <c:formatCode>0.00%</c:formatCode>
                  <c:ptCount val="6"/>
                  <c:pt idx="0">
                    <c:v>1.9094065395649312E-2</c:v>
                  </c:pt>
                  <c:pt idx="1">
                    <c:v>7.21687836487036E-3</c:v>
                  </c:pt>
                  <c:pt idx="2">
                    <c:v>1.3597399555105182E-16</c:v>
                  </c:pt>
                  <c:pt idx="3">
                    <c:v>3.3071891388307371E-2</c:v>
                  </c:pt>
                  <c:pt idx="4">
                    <c:v>7.2168783648703608E-3</c:v>
                  </c:pt>
                  <c:pt idx="5">
                    <c:v>1.4433756729740658E-2</c:v>
                  </c:pt>
                </c:numCache>
              </c:numRef>
            </c:plus>
            <c:minus>
              <c:numRef>
                <c:f>Sheet1!$H$34:$H$39</c:f>
                <c:numCache>
                  <c:formatCode>0.00%</c:formatCode>
                  <c:ptCount val="6"/>
                  <c:pt idx="0">
                    <c:v>1.9094065395649312E-2</c:v>
                  </c:pt>
                  <c:pt idx="1">
                    <c:v>7.21687836487036E-3</c:v>
                  </c:pt>
                  <c:pt idx="2">
                    <c:v>1.3597399555105182E-16</c:v>
                  </c:pt>
                  <c:pt idx="3">
                    <c:v>3.3071891388307371E-2</c:v>
                  </c:pt>
                  <c:pt idx="4">
                    <c:v>7.2168783648703608E-3</c:v>
                  </c:pt>
                  <c:pt idx="5">
                    <c:v>1.4433756729740658E-2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Sheet1!$I$34:$I$39</c:f>
                <c:numCache>
                  <c:formatCode>0.000</c:formatCode>
                  <c:ptCount val="6"/>
                  <c:pt idx="0">
                    <c:v>0.14813957382594745</c:v>
                  </c:pt>
                  <c:pt idx="1">
                    <c:v>6.2853144180170855</c:v>
                  </c:pt>
                  <c:pt idx="2">
                    <c:v>1.0785793124908943E-2</c:v>
                  </c:pt>
                  <c:pt idx="3">
                    <c:v>0.54337494728164781</c:v>
                  </c:pt>
                  <c:pt idx="4">
                    <c:v>2.6147308338208197</c:v>
                  </c:pt>
                  <c:pt idx="5">
                    <c:v>3.3469875012215606</c:v>
                  </c:pt>
                </c:numCache>
              </c:numRef>
            </c:plus>
            <c:minus>
              <c:numRef>
                <c:f>Sheet1!$I$34:$I$39</c:f>
                <c:numCache>
                  <c:formatCode>0.000</c:formatCode>
                  <c:ptCount val="6"/>
                  <c:pt idx="0">
                    <c:v>0.14813957382594745</c:v>
                  </c:pt>
                  <c:pt idx="1">
                    <c:v>6.2853144180170855</c:v>
                  </c:pt>
                  <c:pt idx="2">
                    <c:v>1.0785793124908943E-2</c:v>
                  </c:pt>
                  <c:pt idx="3">
                    <c:v>0.54337494728164781</c:v>
                  </c:pt>
                  <c:pt idx="4">
                    <c:v>2.6147308338208197</c:v>
                  </c:pt>
                  <c:pt idx="5">
                    <c:v>3.3469875012215606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Sheet1!$E$34:$E$39</c:f>
              <c:numCache>
                <c:formatCode>0.00%</c:formatCode>
                <c:ptCount val="6"/>
                <c:pt idx="0">
                  <c:v>0.94583333333333341</c:v>
                </c:pt>
                <c:pt idx="1">
                  <c:v>0.95833333333333337</c:v>
                </c:pt>
                <c:pt idx="2">
                  <c:v>0.92500000000000016</c:v>
                </c:pt>
                <c:pt idx="3">
                  <c:v>0.91249999999999998</c:v>
                </c:pt>
                <c:pt idx="4">
                  <c:v>0.95833333333333337</c:v>
                </c:pt>
                <c:pt idx="5">
                  <c:v>0.84583333333333333</c:v>
                </c:pt>
              </c:numCache>
            </c:numRef>
          </c:xVal>
          <c:yVal>
            <c:numRef>
              <c:f>Sheet1!$F$34:$F$39</c:f>
              <c:numCache>
                <c:formatCode>0.000</c:formatCode>
                <c:ptCount val="6"/>
                <c:pt idx="0">
                  <c:v>1.6523333333333332</c:v>
                </c:pt>
                <c:pt idx="1">
                  <c:v>45.390333333333331</c:v>
                </c:pt>
                <c:pt idx="2">
                  <c:v>2.0496666666666665</c:v>
                </c:pt>
                <c:pt idx="3">
                  <c:v>1.9983333333333333</c:v>
                </c:pt>
                <c:pt idx="4">
                  <c:v>212.98066666666668</c:v>
                </c:pt>
                <c:pt idx="5">
                  <c:v>87.819666666666663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Sheet1!$B$34:$B$39</c15:f>
                <c15:dlblRangeCache>
                  <c:ptCount val="6"/>
                  <c:pt idx="0">
                    <c:v>ministral-3:8b</c:v>
                  </c:pt>
                  <c:pt idx="1">
                    <c:v>qwen3-vl:8b</c:v>
                  </c:pt>
                  <c:pt idx="2">
                    <c:v>gemma3:12b</c:v>
                  </c:pt>
                  <c:pt idx="3">
                    <c:v>ministral-3:14b</c:v>
                  </c:pt>
                  <c:pt idx="4">
                    <c:v>qwen3-vl:32b</c:v>
                  </c:pt>
                  <c:pt idx="5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2D-AB49-9E18-1D54838DFA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82944320"/>
        <c:axId val="1482943424"/>
      </c:scatterChart>
      <c:valAx>
        <c:axId val="148294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Final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82943424"/>
        <c:crosses val="autoZero"/>
        <c:crossBetween val="midCat"/>
      </c:valAx>
      <c:valAx>
        <c:axId val="14829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Per Question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8294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CyberMetric 500 Questions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858014664740319"/>
                  <c:y val="-8.8394652218665562E-2"/>
                </c:manualLayout>
              </c:layout>
              <c:tx>
                <c:rich>
                  <a:bodyPr/>
                  <a:lstStyle/>
                  <a:p>
                    <a:fld id="{71398A1D-5291-9F49-821D-821D86E8BF2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8D2-4070-815A-D3E723A6C3CF}"/>
                </c:ext>
              </c:extLst>
            </c:dLbl>
            <c:dLbl>
              <c:idx val="1"/>
              <c:layout>
                <c:manualLayout>
                  <c:x val="-6.7305395722505795E-2"/>
                  <c:y val="-9.2840226920335125E-2"/>
                </c:manualLayout>
              </c:layout>
              <c:tx>
                <c:rich>
                  <a:bodyPr/>
                  <a:lstStyle/>
                  <a:p>
                    <a:fld id="{88F30B83-CFF2-DE42-B5B8-E2E6983021A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2-4070-815A-D3E723A6C3CF}"/>
                </c:ext>
              </c:extLst>
            </c:dLbl>
            <c:dLbl>
              <c:idx val="2"/>
              <c:layout>
                <c:manualLayout>
                  <c:x val="-9.2448305955254176E-2"/>
                  <c:y val="-0.14174154863870042"/>
                </c:manualLayout>
              </c:layout>
              <c:tx>
                <c:rich>
                  <a:bodyPr/>
                  <a:lstStyle/>
                  <a:p>
                    <a:fld id="{2F3240DE-1ACF-8048-BF6A-D11F3274C41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8D2-4070-815A-D3E723A6C3CF}"/>
                </c:ext>
              </c:extLst>
            </c:dLbl>
            <c:dLbl>
              <c:idx val="3"/>
              <c:layout>
                <c:manualLayout>
                  <c:x val="-2.2806343585846305E-2"/>
                  <c:y val="-7.5057928113656899E-2"/>
                </c:manualLayout>
              </c:layout>
              <c:tx>
                <c:rich>
                  <a:bodyPr/>
                  <a:lstStyle/>
                  <a:p>
                    <a:fld id="{5A0CE914-710A-2A44-B715-7431082F5D8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2-4070-815A-D3E723A6C3CF}"/>
                </c:ext>
              </c:extLst>
            </c:dLbl>
            <c:dLbl>
              <c:idx val="4"/>
              <c:layout>
                <c:manualLayout>
                  <c:x val="-0.18669629957492306"/>
                  <c:y val="-9.0617439569500344E-2"/>
                </c:manualLayout>
              </c:layout>
              <c:tx>
                <c:rich>
                  <a:bodyPr/>
                  <a:lstStyle/>
                  <a:p>
                    <a:fld id="{23A514A7-2C7B-9746-BE9C-A976135B442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8D2-4070-815A-D3E723A6C3CF}"/>
                </c:ext>
              </c:extLst>
            </c:dLbl>
            <c:dLbl>
              <c:idx val="5"/>
              <c:layout>
                <c:manualLayout>
                  <c:x val="-0.10097959797232406"/>
                  <c:y val="-0.11062252572701337"/>
                </c:manualLayout>
              </c:layout>
              <c:tx>
                <c:rich>
                  <a:bodyPr/>
                  <a:lstStyle/>
                  <a:p>
                    <a:fld id="{22FEE667-D4CF-E447-B79B-60D758495D3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2-4070-815A-D3E723A6C3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Sheet1!$N$42:$N$47</c:f>
                <c:numCache>
                  <c:formatCode>0.000</c:formatCode>
                  <c:ptCount val="6"/>
                  <c:pt idx="0">
                    <c:v>2.8284271247461927E-3</c:v>
                  </c:pt>
                  <c:pt idx="1">
                    <c:v>5.6568542494923853E-3</c:v>
                  </c:pt>
                  <c:pt idx="2">
                    <c:v>1.4142135623730963E-3</c:v>
                  </c:pt>
                  <c:pt idx="3">
                    <c:v>2.8284271247461927E-3</c:v>
                  </c:pt>
                  <c:pt idx="4">
                    <c:v>7.0003571337467563E-3</c:v>
                  </c:pt>
                  <c:pt idx="5">
                    <c:v>8.4852813742385784E-3</c:v>
                  </c:pt>
                </c:numCache>
              </c:numRef>
            </c:plus>
            <c:minus>
              <c:numRef>
                <c:f>Sheet1!$N$42:$N$47</c:f>
                <c:numCache>
                  <c:formatCode>0.000</c:formatCode>
                  <c:ptCount val="6"/>
                  <c:pt idx="0">
                    <c:v>2.8284271247461927E-3</c:v>
                  </c:pt>
                  <c:pt idx="1">
                    <c:v>5.6568542494923853E-3</c:v>
                  </c:pt>
                  <c:pt idx="2">
                    <c:v>1.4142135623730963E-3</c:v>
                  </c:pt>
                  <c:pt idx="3">
                    <c:v>2.8284271247461927E-3</c:v>
                  </c:pt>
                  <c:pt idx="4">
                    <c:v>7.0003571337467563E-3</c:v>
                  </c:pt>
                  <c:pt idx="5">
                    <c:v>8.4852813742385784E-3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Sheet1!$O$42:$O$47</c:f>
                <c:numCache>
                  <c:formatCode>0.000</c:formatCode>
                  <c:ptCount val="6"/>
                  <c:pt idx="0">
                    <c:v>4.2284985514955437E-2</c:v>
                  </c:pt>
                  <c:pt idx="1">
                    <c:v>3.1291313545135822</c:v>
                  </c:pt>
                  <c:pt idx="2">
                    <c:v>4.9638896039295825E-3</c:v>
                  </c:pt>
                  <c:pt idx="3">
                    <c:v>6.2409244507524692E-2</c:v>
                  </c:pt>
                  <c:pt idx="4">
                    <c:v>37.362051535792418</c:v>
                  </c:pt>
                  <c:pt idx="5">
                    <c:v>13.661783845135226</c:v>
                  </c:pt>
                </c:numCache>
              </c:numRef>
            </c:plus>
            <c:minus>
              <c:numRef>
                <c:f>Sheet1!$O$42:$O$47</c:f>
                <c:numCache>
                  <c:formatCode>0.000</c:formatCode>
                  <c:ptCount val="6"/>
                  <c:pt idx="0">
                    <c:v>4.2284985514955437E-2</c:v>
                  </c:pt>
                  <c:pt idx="1">
                    <c:v>3.1291313545135822</c:v>
                  </c:pt>
                  <c:pt idx="2">
                    <c:v>4.9638896039295825E-3</c:v>
                  </c:pt>
                  <c:pt idx="3">
                    <c:v>6.2409244507524692E-2</c:v>
                  </c:pt>
                  <c:pt idx="4">
                    <c:v>37.362051535792418</c:v>
                  </c:pt>
                  <c:pt idx="5">
                    <c:v>13.661783845135226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Sheet1!$Q$34:$Q$39</c:f>
              <c:numCache>
                <c:formatCode>0.00%</c:formatCode>
                <c:ptCount val="6"/>
                <c:pt idx="0">
                  <c:v>0.89800000000000002</c:v>
                </c:pt>
                <c:pt idx="1">
                  <c:v>0.92266666666666675</c:v>
                </c:pt>
                <c:pt idx="2">
                  <c:v>0.89866666666666672</c:v>
                </c:pt>
                <c:pt idx="3">
                  <c:v>0.90200000000000002</c:v>
                </c:pt>
                <c:pt idx="4">
                  <c:v>0.93729999999999991</c:v>
                </c:pt>
                <c:pt idx="5">
                  <c:v>0.8806666666666666</c:v>
                </c:pt>
              </c:numCache>
            </c:numRef>
          </c:xVal>
          <c:yVal>
            <c:numRef>
              <c:f>Sheet1!$R$34:$R$39</c:f>
              <c:numCache>
                <c:formatCode>0.000</c:formatCode>
                <c:ptCount val="6"/>
                <c:pt idx="0">
                  <c:v>1.0586133333333334</c:v>
                </c:pt>
                <c:pt idx="1">
                  <c:v>52.590146666666669</c:v>
                </c:pt>
                <c:pt idx="2">
                  <c:v>1.3490666666666666</c:v>
                </c:pt>
                <c:pt idx="3">
                  <c:v>1.4867733333333335</c:v>
                </c:pt>
                <c:pt idx="4">
                  <c:v>231.40133333333333</c:v>
                </c:pt>
                <c:pt idx="5">
                  <c:v>79.500800000000012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Sheet1!$N$34:$N$39</c15:f>
                <c15:dlblRangeCache>
                  <c:ptCount val="6"/>
                  <c:pt idx="0">
                    <c:v>ministral-3:8b</c:v>
                  </c:pt>
                  <c:pt idx="1">
                    <c:v>qwen3-vl:8b</c:v>
                  </c:pt>
                  <c:pt idx="2">
                    <c:v>gemma3:12b</c:v>
                  </c:pt>
                  <c:pt idx="3">
                    <c:v>ministral-3:14b</c:v>
                  </c:pt>
                  <c:pt idx="4">
                    <c:v>qwen3-vl:32b</c:v>
                  </c:pt>
                  <c:pt idx="5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8D2-4070-815A-D3E723A6C3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1887968"/>
        <c:axId val="611896608"/>
      </c:scatterChart>
      <c:valAx>
        <c:axId val="61188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Final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96608"/>
        <c:crosses val="autoZero"/>
        <c:crossBetween val="midCat"/>
      </c:valAx>
      <c:valAx>
        <c:axId val="6118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Per Question 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8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CyberMetric 500 Questions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858014664740319"/>
                  <c:y val="-8.8394652218665562E-2"/>
                </c:manualLayout>
              </c:layout>
              <c:tx>
                <c:rich>
                  <a:bodyPr/>
                  <a:lstStyle/>
                  <a:p>
                    <a:fld id="{48904320-65BF-8145-986F-686F5BBDF94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8D2-4070-815A-D3E723A6C3CF}"/>
                </c:ext>
              </c:extLst>
            </c:dLbl>
            <c:dLbl>
              <c:idx val="1"/>
              <c:layout>
                <c:manualLayout>
                  <c:x val="-6.7305395722505795E-2"/>
                  <c:y val="-9.2840226920335125E-2"/>
                </c:manualLayout>
              </c:layout>
              <c:tx>
                <c:rich>
                  <a:bodyPr/>
                  <a:lstStyle/>
                  <a:p>
                    <a:fld id="{9FC1C94C-01B3-6D4F-B88F-88AC046F85F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2-4070-815A-D3E723A6C3CF}"/>
                </c:ext>
              </c:extLst>
            </c:dLbl>
            <c:dLbl>
              <c:idx val="2"/>
              <c:layout>
                <c:manualLayout>
                  <c:x val="-9.2448305955254176E-2"/>
                  <c:y val="-0.14174154863870042"/>
                </c:manualLayout>
              </c:layout>
              <c:tx>
                <c:rich>
                  <a:bodyPr/>
                  <a:lstStyle/>
                  <a:p>
                    <a:fld id="{EE987DE8-6F25-C448-A021-731890CCF35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8D2-4070-815A-D3E723A6C3CF}"/>
                </c:ext>
              </c:extLst>
            </c:dLbl>
            <c:dLbl>
              <c:idx val="3"/>
              <c:layout>
                <c:manualLayout>
                  <c:x val="-2.2806343585846305E-2"/>
                  <c:y val="-7.5057928113656899E-2"/>
                </c:manualLayout>
              </c:layout>
              <c:tx>
                <c:rich>
                  <a:bodyPr/>
                  <a:lstStyle/>
                  <a:p>
                    <a:fld id="{F822ECE1-DF4E-D04E-9B3A-69A64786780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2-4070-815A-D3E723A6C3CF}"/>
                </c:ext>
              </c:extLst>
            </c:dLbl>
            <c:dLbl>
              <c:idx val="4"/>
              <c:layout>
                <c:manualLayout>
                  <c:x val="-0.18669629957492306"/>
                  <c:y val="-9.0617439569500344E-2"/>
                </c:manualLayout>
              </c:layout>
              <c:tx>
                <c:rich>
                  <a:bodyPr/>
                  <a:lstStyle/>
                  <a:p>
                    <a:fld id="{255C19DE-6925-CF4E-AD2B-1EB29DF14B4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8D2-4070-815A-D3E723A6C3CF}"/>
                </c:ext>
              </c:extLst>
            </c:dLbl>
            <c:dLbl>
              <c:idx val="5"/>
              <c:layout>
                <c:manualLayout>
                  <c:x val="-0.10097959797232406"/>
                  <c:y val="-0.11062252572701337"/>
                </c:manualLayout>
              </c:layout>
              <c:tx>
                <c:rich>
                  <a:bodyPr/>
                  <a:lstStyle/>
                  <a:p>
                    <a:fld id="{DD60F584-F54B-5D4F-964E-A0649EFA037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2-4070-815A-D3E723A6C3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Sheet1!$N$42:$N$47</c:f>
                <c:numCache>
                  <c:formatCode>0.000</c:formatCode>
                  <c:ptCount val="6"/>
                  <c:pt idx="0">
                    <c:v>2.8284271247461927E-3</c:v>
                  </c:pt>
                  <c:pt idx="1">
                    <c:v>5.6568542494923853E-3</c:v>
                  </c:pt>
                  <c:pt idx="2">
                    <c:v>1.4142135623730963E-3</c:v>
                  </c:pt>
                  <c:pt idx="3">
                    <c:v>2.8284271247461927E-3</c:v>
                  </c:pt>
                  <c:pt idx="4">
                    <c:v>7.0003571337467563E-3</c:v>
                  </c:pt>
                  <c:pt idx="5">
                    <c:v>8.4852813742385784E-3</c:v>
                  </c:pt>
                </c:numCache>
              </c:numRef>
            </c:plus>
            <c:minus>
              <c:numRef>
                <c:f>Sheet1!$N$42:$N$47</c:f>
                <c:numCache>
                  <c:formatCode>0.000</c:formatCode>
                  <c:ptCount val="6"/>
                  <c:pt idx="0">
                    <c:v>2.8284271247461927E-3</c:v>
                  </c:pt>
                  <c:pt idx="1">
                    <c:v>5.6568542494923853E-3</c:v>
                  </c:pt>
                  <c:pt idx="2">
                    <c:v>1.4142135623730963E-3</c:v>
                  </c:pt>
                  <c:pt idx="3">
                    <c:v>2.8284271247461927E-3</c:v>
                  </c:pt>
                  <c:pt idx="4">
                    <c:v>7.0003571337467563E-3</c:v>
                  </c:pt>
                  <c:pt idx="5">
                    <c:v>8.4852813742385784E-3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Sheet1!$O$42:$O$47</c:f>
                <c:numCache>
                  <c:formatCode>0.000</c:formatCode>
                  <c:ptCount val="6"/>
                  <c:pt idx="0">
                    <c:v>4.2284985514955437E-2</c:v>
                  </c:pt>
                  <c:pt idx="1">
                    <c:v>3.1291313545135822</c:v>
                  </c:pt>
                  <c:pt idx="2">
                    <c:v>4.9638896039295825E-3</c:v>
                  </c:pt>
                  <c:pt idx="3">
                    <c:v>6.2409244507524692E-2</c:v>
                  </c:pt>
                  <c:pt idx="4">
                    <c:v>37.362051535792418</c:v>
                  </c:pt>
                  <c:pt idx="5">
                    <c:v>13.661783845135226</c:v>
                  </c:pt>
                </c:numCache>
              </c:numRef>
            </c:plus>
            <c:minus>
              <c:numRef>
                <c:f>Sheet1!$O$42:$O$47</c:f>
                <c:numCache>
                  <c:formatCode>0.000</c:formatCode>
                  <c:ptCount val="6"/>
                  <c:pt idx="0">
                    <c:v>4.2284985514955437E-2</c:v>
                  </c:pt>
                  <c:pt idx="1">
                    <c:v>3.1291313545135822</c:v>
                  </c:pt>
                  <c:pt idx="2">
                    <c:v>4.9638896039295825E-3</c:v>
                  </c:pt>
                  <c:pt idx="3">
                    <c:v>6.2409244507524692E-2</c:v>
                  </c:pt>
                  <c:pt idx="4">
                    <c:v>37.362051535792418</c:v>
                  </c:pt>
                  <c:pt idx="5">
                    <c:v>13.661783845135226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Sheet1!$Q$34:$Q$39</c:f>
              <c:numCache>
                <c:formatCode>0.00%</c:formatCode>
                <c:ptCount val="6"/>
                <c:pt idx="0">
                  <c:v>0.89800000000000002</c:v>
                </c:pt>
                <c:pt idx="1">
                  <c:v>0.92266666666666675</c:v>
                </c:pt>
                <c:pt idx="2">
                  <c:v>0.89866666666666672</c:v>
                </c:pt>
                <c:pt idx="3">
                  <c:v>0.90200000000000002</c:v>
                </c:pt>
                <c:pt idx="4">
                  <c:v>0.93729999999999991</c:v>
                </c:pt>
                <c:pt idx="5">
                  <c:v>0.8806666666666666</c:v>
                </c:pt>
              </c:numCache>
            </c:numRef>
          </c:xVal>
          <c:yVal>
            <c:numRef>
              <c:f>Sheet1!$R$34:$R$39</c:f>
              <c:numCache>
                <c:formatCode>0.000</c:formatCode>
                <c:ptCount val="6"/>
                <c:pt idx="0">
                  <c:v>1.0586133333333334</c:v>
                </c:pt>
                <c:pt idx="1">
                  <c:v>52.590146666666669</c:v>
                </c:pt>
                <c:pt idx="2">
                  <c:v>1.3490666666666666</c:v>
                </c:pt>
                <c:pt idx="3">
                  <c:v>1.4867733333333335</c:v>
                </c:pt>
                <c:pt idx="4">
                  <c:v>231.40133333333333</c:v>
                </c:pt>
                <c:pt idx="5">
                  <c:v>79.500800000000012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Sheet1!$N$34:$N$39</c15:f>
                <c15:dlblRangeCache>
                  <c:ptCount val="6"/>
                  <c:pt idx="0">
                    <c:v>ministral-3:8b</c:v>
                  </c:pt>
                  <c:pt idx="1">
                    <c:v>qwen3-vl:8b</c:v>
                  </c:pt>
                  <c:pt idx="2">
                    <c:v>gemma3:12b</c:v>
                  </c:pt>
                  <c:pt idx="3">
                    <c:v>ministral-3:14b</c:v>
                  </c:pt>
                  <c:pt idx="4">
                    <c:v>qwen3-vl:32b</c:v>
                  </c:pt>
                  <c:pt idx="5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8D2-4070-815A-D3E723A6C3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1887968"/>
        <c:axId val="611896608"/>
      </c:scatterChart>
      <c:valAx>
        <c:axId val="61188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Final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96608"/>
        <c:crosses val="autoZero"/>
        <c:crossBetween val="midCat"/>
      </c:valAx>
      <c:valAx>
        <c:axId val="6118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Per Question 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8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1159307</xdr:colOff>
      <xdr:row>92</xdr:row>
      <xdr:rowOff>104421</xdr:rowOff>
    </xdr:from>
    <xdr:to>
      <xdr:col>5</xdr:col>
      <xdr:colOff>1309825</xdr:colOff>
      <xdr:row>105</xdr:row>
      <xdr:rowOff>197242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B0FC688-B507-F4E7-327C-CD848FBC7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1371600</xdr:colOff>
      <xdr:row>93</xdr:row>
      <xdr:rowOff>34925</xdr:rowOff>
    </xdr:from>
    <xdr:to>
      <xdr:col>14</xdr:col>
      <xdr:colOff>111125</xdr:colOff>
      <xdr:row>121</xdr:row>
      <xdr:rowOff>41275</xdr:rowOff>
    </xdr:to>
    <xdr:graphicFrame macro="">
      <xdr:nvGraphicFramePr>
        <xdr:cNvPr id="316" name="Chart 8" descr="Chart type: Scatter. 'Total  Time' by 'Final Accuracy'&#10;&#10;Description automatically generated">
          <a:extLst>
            <a:ext uri="{FF2B5EF4-FFF2-40B4-BE49-F238E27FC236}">
              <a16:creationId xmlns:a16="http://schemas.microsoft.com/office/drawing/2014/main" id="{731DE880-F65D-3BEF-D1AB-5D70609DDEC9}"/>
            </a:ext>
            <a:ext uri="{147F2762-F138-4A5C-976F-8EAC2B608ADB}">
              <a16:predDERef xmlns:a16="http://schemas.microsoft.com/office/drawing/2014/main" pred="{43947925-5325-D539-4401-AB7D67286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404091</xdr:colOff>
      <xdr:row>42</xdr:row>
      <xdr:rowOff>49409</xdr:rowOff>
    </xdr:from>
    <xdr:to>
      <xdr:col>11</xdr:col>
      <xdr:colOff>61937</xdr:colOff>
      <xdr:row>69</xdr:row>
      <xdr:rowOff>127704</xdr:rowOff>
    </xdr:to>
    <xdr:graphicFrame macro="">
      <xdr:nvGraphicFramePr>
        <xdr:cNvPr id="263" name="Diagram 13">
          <a:extLst>
            <a:ext uri="{FF2B5EF4-FFF2-40B4-BE49-F238E27FC236}">
              <a16:creationId xmlns:a16="http://schemas.microsoft.com/office/drawing/2014/main" id="{5E9589A5-3808-E817-6ADA-6057DFC4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760885</xdr:colOff>
      <xdr:row>40</xdr:row>
      <xdr:rowOff>176909</xdr:rowOff>
    </xdr:from>
    <xdr:to>
      <xdr:col>24</xdr:col>
      <xdr:colOff>591207</xdr:colOff>
      <xdr:row>69</xdr:row>
      <xdr:rowOff>100750</xdr:rowOff>
    </xdr:to>
    <xdr:graphicFrame macro="">
      <xdr:nvGraphicFramePr>
        <xdr:cNvPr id="264" name="Diagram 263">
          <a:extLst>
            <a:ext uri="{FF2B5EF4-FFF2-40B4-BE49-F238E27FC236}">
              <a16:creationId xmlns:a16="http://schemas.microsoft.com/office/drawing/2014/main" id="{C48F4A87-8D17-F23B-6270-6AFA0A0BC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824385</xdr:colOff>
      <xdr:row>41</xdr:row>
      <xdr:rowOff>134576</xdr:rowOff>
    </xdr:from>
    <xdr:to>
      <xdr:col>24</xdr:col>
      <xdr:colOff>654707</xdr:colOff>
      <xdr:row>70</xdr:row>
      <xdr:rowOff>58416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2E6CB97-75CB-44BF-492F-D5DCD159F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CC5A-5652-524F-8FBB-420F7C0AD183}">
  <dimension ref="A1:U89"/>
  <sheetViews>
    <sheetView tabSelected="1" zoomScale="60" workbookViewId="0">
      <selection activeCell="M63" sqref="M63"/>
    </sheetView>
  </sheetViews>
  <sheetFormatPr defaultColWidth="11" defaultRowHeight="15.95"/>
  <cols>
    <col min="2" max="2" width="17.625" bestFit="1" customWidth="1"/>
    <col min="3" max="3" width="13.625" bestFit="1" customWidth="1"/>
    <col min="4" max="4" width="14.125" bestFit="1" customWidth="1"/>
    <col min="5" max="5" width="12.625" customWidth="1"/>
    <col min="6" max="6" width="22.125" customWidth="1"/>
    <col min="7" max="7" width="12" bestFit="1" customWidth="1"/>
    <col min="8" max="8" width="19" bestFit="1" customWidth="1"/>
    <col min="9" max="9" width="14.5" bestFit="1" customWidth="1"/>
    <col min="10" max="10" width="13.625" bestFit="1" customWidth="1"/>
    <col min="11" max="11" width="14.125" bestFit="1" customWidth="1"/>
    <col min="12" max="12" width="12.625" bestFit="1" customWidth="1"/>
    <col min="13" max="13" width="22.625" bestFit="1" customWidth="1"/>
    <col min="14" max="14" width="18" bestFit="1" customWidth="1"/>
    <col min="15" max="15" width="13.625" bestFit="1" customWidth="1"/>
    <col min="16" max="16" width="14" bestFit="1" customWidth="1"/>
    <col min="17" max="17" width="13" customWidth="1"/>
    <col min="18" max="18" width="22.625" bestFit="1" customWidth="1"/>
    <col min="19" max="19" width="10.625" bestFit="1" customWidth="1"/>
    <col min="20" max="20" width="20" bestFit="1" customWidth="1"/>
    <col min="21" max="21" width="14.5" bestFit="1" customWidth="1"/>
  </cols>
  <sheetData>
    <row r="1" spans="2:19" ht="17.100000000000001" thickBot="1"/>
    <row r="2" spans="2:19" ht="17.100000000000001" thickBot="1">
      <c r="B2" s="10" t="s">
        <v>0</v>
      </c>
      <c r="C2" s="9"/>
      <c r="N2" s="10" t="s">
        <v>1</v>
      </c>
      <c r="O2" s="9"/>
    </row>
    <row r="3" spans="2:19" ht="17.100000000000001" thickBot="1"/>
    <row r="4" spans="2:19" ht="17.100000000000001" thickBot="1">
      <c r="B4" s="1" t="s">
        <v>2</v>
      </c>
      <c r="C4" s="2"/>
      <c r="D4" s="2"/>
      <c r="E4" s="2"/>
      <c r="F4" s="2"/>
      <c r="G4" s="3"/>
      <c r="N4" s="1" t="s">
        <v>2</v>
      </c>
      <c r="O4" s="2"/>
      <c r="P4" s="2"/>
      <c r="Q4" s="2"/>
      <c r="R4" s="2"/>
      <c r="S4" s="3"/>
    </row>
    <row r="5" spans="2:19" ht="17.100000000000001" thickBot="1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9" t="s">
        <v>8</v>
      </c>
      <c r="N5" s="6" t="s">
        <v>3</v>
      </c>
      <c r="O5" s="6" t="s">
        <v>4</v>
      </c>
      <c r="P5" s="6" t="s">
        <v>5</v>
      </c>
      <c r="Q5" s="6" t="s">
        <v>6</v>
      </c>
      <c r="R5" s="6" t="s">
        <v>7</v>
      </c>
      <c r="S5" s="9" t="s">
        <v>8</v>
      </c>
    </row>
    <row r="6" spans="2:19">
      <c r="B6" s="7" t="s">
        <v>9</v>
      </c>
      <c r="C6" s="7">
        <v>80</v>
      </c>
      <c r="D6" s="7">
        <v>77</v>
      </c>
      <c r="E6" s="19">
        <v>0.96250000000000002</v>
      </c>
      <c r="F6" s="7">
        <v>1.823</v>
      </c>
      <c r="G6" s="25">
        <v>145.851</v>
      </c>
      <c r="N6" s="7" t="s">
        <v>9</v>
      </c>
      <c r="O6" s="7">
        <v>500</v>
      </c>
      <c r="P6" s="7">
        <v>450</v>
      </c>
      <c r="Q6" s="19">
        <v>0.9</v>
      </c>
      <c r="R6" s="7">
        <v>1.004</v>
      </c>
      <c r="S6" s="4">
        <v>502.36900000000003</v>
      </c>
    </row>
    <row r="7" spans="2:19">
      <c r="B7" s="7" t="s">
        <v>10</v>
      </c>
      <c r="C7" s="7">
        <v>80</v>
      </c>
      <c r="D7" s="7">
        <v>77</v>
      </c>
      <c r="E7" s="19">
        <v>0.96250000000000002</v>
      </c>
      <c r="F7" s="7">
        <v>38.134999999999998</v>
      </c>
      <c r="G7" s="25">
        <v>3050.8649999999998</v>
      </c>
      <c r="N7" s="7" t="s">
        <v>10</v>
      </c>
      <c r="O7" s="7">
        <v>500</v>
      </c>
      <c r="P7" s="7">
        <v>462</v>
      </c>
      <c r="Q7" s="19">
        <v>0.92400000000000004</v>
      </c>
      <c r="R7" s="7">
        <v>53.267000000000003</v>
      </c>
      <c r="S7" s="4">
        <v>26633.816999999999</v>
      </c>
    </row>
    <row r="8" spans="2:19">
      <c r="B8" s="7" t="s">
        <v>11</v>
      </c>
      <c r="C8" s="7">
        <v>80</v>
      </c>
      <c r="D8" s="7">
        <v>74</v>
      </c>
      <c r="E8" s="19">
        <v>0.92500000000000004</v>
      </c>
      <c r="F8" s="7">
        <v>2.0449999999999999</v>
      </c>
      <c r="G8" s="25">
        <v>163.64699999999999</v>
      </c>
      <c r="N8" s="7" t="s">
        <v>11</v>
      </c>
      <c r="O8" s="7">
        <v>500</v>
      </c>
      <c r="P8" s="7">
        <v>449</v>
      </c>
      <c r="Q8" s="19">
        <v>0.89800000000000002</v>
      </c>
      <c r="R8" s="7">
        <v>1.3540000000000001</v>
      </c>
      <c r="S8" s="4">
        <v>677.49099999999999</v>
      </c>
    </row>
    <row r="9" spans="2:19">
      <c r="B9" s="7" t="s">
        <v>12</v>
      </c>
      <c r="C9" s="7">
        <v>80</v>
      </c>
      <c r="D9" s="7">
        <v>76</v>
      </c>
      <c r="E9" s="19">
        <v>0.95</v>
      </c>
      <c r="F9" s="7">
        <v>1.3859999999999999</v>
      </c>
      <c r="G9" s="25">
        <v>110.932</v>
      </c>
      <c r="N9" s="7" t="s">
        <v>12</v>
      </c>
      <c r="O9" s="7">
        <v>500</v>
      </c>
      <c r="P9" s="7">
        <v>452</v>
      </c>
      <c r="Q9" s="19">
        <v>0.90400000000000003</v>
      </c>
      <c r="R9" s="7">
        <v>1.548</v>
      </c>
      <c r="S9" s="4">
        <v>774.48500000000001</v>
      </c>
    </row>
    <row r="10" spans="2:19">
      <c r="B10" s="7" t="s">
        <v>13</v>
      </c>
      <c r="C10" s="7">
        <v>80</v>
      </c>
      <c r="D10" s="7">
        <v>76</v>
      </c>
      <c r="E10" s="19">
        <v>0.95</v>
      </c>
      <c r="F10" s="7">
        <v>215.99199999999999</v>
      </c>
      <c r="G10" s="25">
        <v>17279.429</v>
      </c>
      <c r="N10" s="7" t="s">
        <v>13</v>
      </c>
      <c r="O10" s="7">
        <v>500</v>
      </c>
      <c r="P10" s="7">
        <v>471</v>
      </c>
      <c r="Q10" s="19">
        <v>0.94189999999999996</v>
      </c>
      <c r="R10" s="7">
        <v>254.245</v>
      </c>
      <c r="S10" s="4">
        <v>127122.587</v>
      </c>
    </row>
    <row r="11" spans="2:19" ht="17.100000000000001" thickBot="1">
      <c r="B11" s="8" t="s">
        <v>14</v>
      </c>
      <c r="C11" s="8">
        <v>80</v>
      </c>
      <c r="D11" s="8">
        <v>67</v>
      </c>
      <c r="E11" s="20">
        <v>0.83750000000000002</v>
      </c>
      <c r="F11" s="8">
        <v>83.960999999999999</v>
      </c>
      <c r="G11" s="26">
        <v>6708.9120000000003</v>
      </c>
      <c r="N11" s="8" t="s">
        <v>14</v>
      </c>
      <c r="O11" s="18">
        <v>500</v>
      </c>
      <c r="P11" s="8">
        <v>440</v>
      </c>
      <c r="Q11" s="20">
        <v>0.88</v>
      </c>
      <c r="R11" s="8">
        <v>91.941999999999993</v>
      </c>
      <c r="S11" s="5">
        <v>45971.254999999997</v>
      </c>
    </row>
    <row r="12" spans="2:19" ht="17.100000000000001" thickBot="1">
      <c r="G12" s="27"/>
    </row>
    <row r="13" spans="2:19" ht="17.100000000000001" thickBot="1">
      <c r="B13" s="1" t="s">
        <v>15</v>
      </c>
      <c r="C13" s="2"/>
      <c r="D13" s="2"/>
      <c r="E13" s="2"/>
      <c r="F13" s="2"/>
      <c r="G13" s="28"/>
      <c r="N13" s="1" t="s">
        <v>15</v>
      </c>
      <c r="O13" s="2"/>
      <c r="P13" s="2"/>
      <c r="Q13" s="2"/>
      <c r="R13" s="2"/>
      <c r="S13" s="3"/>
    </row>
    <row r="14" spans="2:19" ht="17.100000000000001" thickBot="1"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G14" s="29" t="s">
        <v>8</v>
      </c>
      <c r="N14" s="6" t="s">
        <v>3</v>
      </c>
      <c r="O14" s="6" t="s">
        <v>4</v>
      </c>
      <c r="P14" s="6" t="s">
        <v>5</v>
      </c>
      <c r="Q14" s="47" t="s">
        <v>6</v>
      </c>
      <c r="R14" s="6" t="s">
        <v>7</v>
      </c>
      <c r="S14" s="9" t="s">
        <v>8</v>
      </c>
    </row>
    <row r="15" spans="2:19">
      <c r="B15" s="7" t="s">
        <v>9</v>
      </c>
      <c r="C15" s="7">
        <v>80</v>
      </c>
      <c r="D15" s="7">
        <v>74</v>
      </c>
      <c r="E15" s="19">
        <v>0.92500000000000004</v>
      </c>
      <c r="F15" s="7">
        <v>1.5569999999999999</v>
      </c>
      <c r="G15" s="25">
        <v>124.57599999999999</v>
      </c>
      <c r="N15" s="7" t="s">
        <v>9</v>
      </c>
      <c r="O15" s="7">
        <v>500</v>
      </c>
      <c r="P15" s="45">
        <v>448</v>
      </c>
      <c r="Q15" s="48">
        <f t="shared" ref="Q15:Q20" si="0">SUM(P15/O15)</f>
        <v>0.89600000000000002</v>
      </c>
      <c r="R15" s="46">
        <f t="shared" ref="R15:R20" si="1">SUM(S15/O15)</f>
        <v>1.0637999999999999</v>
      </c>
      <c r="S15" s="25">
        <v>531.9</v>
      </c>
    </row>
    <row r="16" spans="2:19">
      <c r="B16" s="7" t="s">
        <v>10</v>
      </c>
      <c r="C16" s="7">
        <v>80</v>
      </c>
      <c r="D16" s="7">
        <v>77</v>
      </c>
      <c r="E16" s="19">
        <v>0.96250000000000002</v>
      </c>
      <c r="F16" s="7">
        <v>48.859000000000002</v>
      </c>
      <c r="G16" s="25">
        <v>3908.7979999999998</v>
      </c>
      <c r="N16" s="7" t="s">
        <v>10</v>
      </c>
      <c r="O16" s="7">
        <v>500</v>
      </c>
      <c r="P16" s="45">
        <v>458</v>
      </c>
      <c r="Q16" s="35">
        <f t="shared" si="0"/>
        <v>0.91600000000000004</v>
      </c>
      <c r="R16" s="46">
        <f t="shared" si="1"/>
        <v>48.841740000000001</v>
      </c>
      <c r="S16" s="25">
        <v>24420.87</v>
      </c>
    </row>
    <row r="17" spans="2:19">
      <c r="B17" s="7" t="s">
        <v>11</v>
      </c>
      <c r="C17" s="7">
        <v>80</v>
      </c>
      <c r="D17" s="7">
        <v>74</v>
      </c>
      <c r="E17" s="19">
        <v>0.92500000000000004</v>
      </c>
      <c r="F17" s="7">
        <v>2.0619999999999998</v>
      </c>
      <c r="G17" s="25">
        <v>165.02699999999999</v>
      </c>
      <c r="N17" s="7" t="s">
        <v>11</v>
      </c>
      <c r="O17" s="7">
        <v>500</v>
      </c>
      <c r="P17" s="45">
        <v>450</v>
      </c>
      <c r="Q17" s="35">
        <f t="shared" si="0"/>
        <v>0.9</v>
      </c>
      <c r="R17" s="46">
        <f t="shared" si="1"/>
        <v>1.3469800000000001</v>
      </c>
      <c r="S17" s="25">
        <v>673.49</v>
      </c>
    </row>
    <row r="18" spans="2:19">
      <c r="B18" s="7" t="s">
        <v>12</v>
      </c>
      <c r="C18" s="7">
        <v>80</v>
      </c>
      <c r="D18" s="7">
        <v>72</v>
      </c>
      <c r="E18" s="19">
        <v>0.9</v>
      </c>
      <c r="F18" s="7">
        <v>2.423</v>
      </c>
      <c r="G18" s="25">
        <v>193.90100000000001</v>
      </c>
      <c r="N18" s="7" t="s">
        <v>12</v>
      </c>
      <c r="O18" s="7">
        <v>500</v>
      </c>
      <c r="P18" s="45">
        <v>450</v>
      </c>
      <c r="Q18" s="35">
        <f t="shared" si="0"/>
        <v>0.9</v>
      </c>
      <c r="R18" s="46">
        <f t="shared" si="1"/>
        <v>1.45974</v>
      </c>
      <c r="S18" s="25">
        <v>729.87</v>
      </c>
    </row>
    <row r="19" spans="2:19">
      <c r="B19" s="7" t="s">
        <v>13</v>
      </c>
      <c r="C19" s="7">
        <v>80</v>
      </c>
      <c r="D19" s="7">
        <v>77</v>
      </c>
      <c r="E19" s="19">
        <v>0.96250000000000002</v>
      </c>
      <c r="F19" s="7">
        <v>211.66399999999999</v>
      </c>
      <c r="G19" s="25">
        <v>16933.120999999999</v>
      </c>
      <c r="N19" s="7" t="s">
        <v>13</v>
      </c>
      <c r="O19" s="7">
        <v>500</v>
      </c>
      <c r="P19" s="45">
        <v>466</v>
      </c>
      <c r="Q19" s="35">
        <f t="shared" si="0"/>
        <v>0.93200000000000005</v>
      </c>
      <c r="R19" s="46">
        <f t="shared" si="1"/>
        <v>201.40707999999998</v>
      </c>
      <c r="S19" s="25">
        <v>100703.54</v>
      </c>
    </row>
    <row r="20" spans="2:19" ht="17.100000000000001" thickBot="1">
      <c r="B20" s="8" t="s">
        <v>14</v>
      </c>
      <c r="C20" s="8">
        <v>80</v>
      </c>
      <c r="D20" s="8">
        <v>69</v>
      </c>
      <c r="E20" s="20">
        <v>0.86250000000000004</v>
      </c>
      <c r="F20" s="8">
        <v>89.936999999999998</v>
      </c>
      <c r="G20" s="26">
        <v>7194.9759999999997</v>
      </c>
      <c r="N20" s="8" t="s">
        <v>14</v>
      </c>
      <c r="O20" s="18">
        <v>500</v>
      </c>
      <c r="P20" s="36">
        <v>446</v>
      </c>
      <c r="Q20" s="49">
        <f t="shared" si="0"/>
        <v>0.89200000000000002</v>
      </c>
      <c r="R20" s="44">
        <f t="shared" si="1"/>
        <v>72.621320000000011</v>
      </c>
      <c r="S20" s="26">
        <v>36310.660000000003</v>
      </c>
    </row>
    <row r="21" spans="2:19" ht="17.100000000000001" thickBot="1">
      <c r="G21" s="27"/>
    </row>
    <row r="22" spans="2:19" ht="17.100000000000001" thickBot="1">
      <c r="B22" s="1" t="s">
        <v>16</v>
      </c>
      <c r="C22" s="2"/>
      <c r="D22" s="2"/>
      <c r="E22" s="2"/>
      <c r="F22" s="2"/>
      <c r="G22" s="28"/>
      <c r="N22" s="52" t="s">
        <v>16</v>
      </c>
      <c r="O22" s="2"/>
      <c r="P22" s="2"/>
      <c r="Q22" s="2"/>
      <c r="R22" s="2"/>
      <c r="S22" s="3"/>
    </row>
    <row r="23" spans="2:19" ht="17.100000000000001" thickBot="1">
      <c r="B23" s="6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29" t="s">
        <v>8</v>
      </c>
      <c r="N23" s="6" t="s">
        <v>3</v>
      </c>
      <c r="O23" s="6" t="s">
        <v>4</v>
      </c>
      <c r="P23" s="6" t="s">
        <v>5</v>
      </c>
      <c r="Q23" s="6" t="s">
        <v>6</v>
      </c>
      <c r="R23" s="6" t="s">
        <v>7</v>
      </c>
      <c r="S23" s="9" t="s">
        <v>8</v>
      </c>
    </row>
    <row r="24" spans="2:19">
      <c r="B24" s="7" t="s">
        <v>9</v>
      </c>
      <c r="C24" s="7">
        <v>80</v>
      </c>
      <c r="D24" s="7">
        <v>76</v>
      </c>
      <c r="E24" s="19">
        <v>0.95</v>
      </c>
      <c r="F24" s="7">
        <v>1.577</v>
      </c>
      <c r="G24" s="25">
        <v>126.16200000000001</v>
      </c>
      <c r="N24" s="7" t="s">
        <v>9</v>
      </c>
      <c r="O24" s="7">
        <v>500</v>
      </c>
      <c r="P24" s="45">
        <v>449</v>
      </c>
      <c r="Q24" s="19">
        <f>SUM(P24/O24)</f>
        <v>0.89800000000000002</v>
      </c>
      <c r="R24" s="7">
        <f t="shared" ref="R24:R29" si="2">SUM(S24/O24)</f>
        <v>1.1080399999999999</v>
      </c>
      <c r="S24" s="25">
        <v>554.02</v>
      </c>
    </row>
    <row r="25" spans="2:19">
      <c r="B25" s="7" t="s">
        <v>10</v>
      </c>
      <c r="C25" s="7">
        <v>80</v>
      </c>
      <c r="D25" s="7">
        <v>76</v>
      </c>
      <c r="E25" s="19">
        <v>0.95</v>
      </c>
      <c r="F25" s="7">
        <v>49.177</v>
      </c>
      <c r="G25" s="25">
        <v>3934.1990000000001</v>
      </c>
      <c r="N25" s="7" t="s">
        <v>10</v>
      </c>
      <c r="O25" s="7">
        <v>500</v>
      </c>
      <c r="P25" s="45">
        <v>464</v>
      </c>
      <c r="Q25" s="19">
        <f t="shared" ref="Q25:Q29" si="3">SUM(P25/O25)</f>
        <v>0.92800000000000005</v>
      </c>
      <c r="R25" s="7">
        <f t="shared" si="2"/>
        <v>55.661699999999996</v>
      </c>
      <c r="S25" s="25">
        <v>27830.85</v>
      </c>
    </row>
    <row r="26" spans="2:19">
      <c r="B26" s="7" t="s">
        <v>11</v>
      </c>
      <c r="C26" s="7">
        <v>80</v>
      </c>
      <c r="D26" s="7">
        <v>74</v>
      </c>
      <c r="E26" s="19">
        <v>0.92500000000000004</v>
      </c>
      <c r="F26" s="7">
        <v>2.0419999999999998</v>
      </c>
      <c r="G26" s="25">
        <v>163.404</v>
      </c>
      <c r="N26" s="7" t="s">
        <v>11</v>
      </c>
      <c r="O26" s="7">
        <v>500</v>
      </c>
      <c r="P26" s="45">
        <v>449</v>
      </c>
      <c r="Q26" s="19">
        <f t="shared" si="3"/>
        <v>0.89800000000000002</v>
      </c>
      <c r="R26" s="7">
        <f t="shared" si="2"/>
        <v>1.34622</v>
      </c>
      <c r="S26" s="25">
        <v>673.11</v>
      </c>
    </row>
    <row r="27" spans="2:19">
      <c r="B27" s="7" t="s">
        <v>12</v>
      </c>
      <c r="C27" s="7">
        <v>80</v>
      </c>
      <c r="D27" s="7">
        <v>71</v>
      </c>
      <c r="E27" s="19">
        <v>0.88749999999999996</v>
      </c>
      <c r="F27" s="7">
        <v>2.1859999999999999</v>
      </c>
      <c r="G27" s="25">
        <v>174.91399999999999</v>
      </c>
      <c r="N27" s="7" t="s">
        <v>12</v>
      </c>
      <c r="O27" s="7">
        <v>500</v>
      </c>
      <c r="P27" s="45">
        <v>451</v>
      </c>
      <c r="Q27" s="19">
        <f t="shared" si="3"/>
        <v>0.90200000000000002</v>
      </c>
      <c r="R27" s="7">
        <f t="shared" si="2"/>
        <v>1.45258</v>
      </c>
      <c r="S27" s="25">
        <v>726.29</v>
      </c>
    </row>
    <row r="28" spans="2:19">
      <c r="B28" s="7" t="s">
        <v>13</v>
      </c>
      <c r="C28" s="7">
        <v>80</v>
      </c>
      <c r="D28" s="7">
        <v>77</v>
      </c>
      <c r="E28" s="19">
        <v>0.96250000000000002</v>
      </c>
      <c r="F28" s="7">
        <v>211.286</v>
      </c>
      <c r="G28" s="25">
        <v>16902.931</v>
      </c>
      <c r="N28" s="7" t="s">
        <v>13</v>
      </c>
      <c r="O28" s="7">
        <v>500</v>
      </c>
      <c r="P28" s="45">
        <v>469</v>
      </c>
      <c r="Q28" s="19">
        <f t="shared" si="3"/>
        <v>0.93799999999999994</v>
      </c>
      <c r="R28" s="7">
        <f t="shared" si="2"/>
        <v>238.55192000000002</v>
      </c>
      <c r="S28" s="25">
        <v>119275.96</v>
      </c>
    </row>
    <row r="29" spans="2:19" ht="17.100000000000001" thickBot="1">
      <c r="B29" s="8" t="s">
        <v>14</v>
      </c>
      <c r="C29" s="8">
        <v>80</v>
      </c>
      <c r="D29" s="8">
        <v>67</v>
      </c>
      <c r="E29" s="20">
        <v>0.83750000000000002</v>
      </c>
      <c r="F29" s="8">
        <v>89.561000000000007</v>
      </c>
      <c r="G29" s="26">
        <v>7164.9560000000001</v>
      </c>
      <c r="N29" s="8" t="s">
        <v>14</v>
      </c>
      <c r="O29" s="18">
        <v>500</v>
      </c>
      <c r="P29" s="36">
        <v>435</v>
      </c>
      <c r="Q29" s="20">
        <f t="shared" si="3"/>
        <v>0.87</v>
      </c>
      <c r="R29" s="18">
        <f t="shared" si="2"/>
        <v>73.939080000000004</v>
      </c>
      <c r="S29" s="26">
        <v>36969.54</v>
      </c>
    </row>
    <row r="30" spans="2:19">
      <c r="G30" s="27"/>
    </row>
    <row r="31" spans="2:19" ht="17.100000000000001" thickBot="1">
      <c r="G31" s="27"/>
    </row>
    <row r="32" spans="2:19" ht="17.100000000000001" thickBot="1">
      <c r="B32" s="15" t="s">
        <v>17</v>
      </c>
      <c r="C32" s="16"/>
      <c r="D32" s="16"/>
      <c r="E32" s="16"/>
      <c r="F32" s="16"/>
      <c r="G32" s="30"/>
      <c r="N32" s="15" t="s">
        <v>17</v>
      </c>
      <c r="O32" s="16"/>
      <c r="P32" s="16"/>
      <c r="Q32" s="16"/>
      <c r="R32" s="16"/>
      <c r="S32" s="17"/>
    </row>
    <row r="33" spans="1:21" ht="17.100000000000001" thickBot="1">
      <c r="B33" s="6" t="s">
        <v>3</v>
      </c>
      <c r="C33" s="6" t="s">
        <v>4</v>
      </c>
      <c r="D33" s="6" t="s">
        <v>5</v>
      </c>
      <c r="E33" s="6" t="s">
        <v>6</v>
      </c>
      <c r="F33" s="6" t="s">
        <v>7</v>
      </c>
      <c r="G33" s="29" t="s">
        <v>8</v>
      </c>
      <c r="H33" s="7" t="s">
        <v>18</v>
      </c>
      <c r="I33" s="7" t="s">
        <v>19</v>
      </c>
      <c r="N33" s="6" t="s">
        <v>3</v>
      </c>
      <c r="O33" s="6" t="s">
        <v>4</v>
      </c>
      <c r="P33" s="6" t="s">
        <v>5</v>
      </c>
      <c r="Q33" s="6" t="s">
        <v>6</v>
      </c>
      <c r="R33" s="6" t="s">
        <v>7</v>
      </c>
      <c r="S33" s="9" t="s">
        <v>8</v>
      </c>
      <c r="T33" s="7" t="s">
        <v>18</v>
      </c>
      <c r="U33" s="7" t="s">
        <v>19</v>
      </c>
    </row>
    <row r="34" spans="1:21">
      <c r="B34" s="12" t="s">
        <v>9</v>
      </c>
      <c r="C34" s="12">
        <v>80</v>
      </c>
      <c r="D34" s="37">
        <f t="shared" ref="D34:F35" si="4">AVERAGE(D6,D15,D24)</f>
        <v>75.666666666666671</v>
      </c>
      <c r="E34" s="21">
        <f t="shared" si="4"/>
        <v>0.94583333333333341</v>
      </c>
      <c r="F34" s="37">
        <f t="shared" si="4"/>
        <v>1.6523333333333332</v>
      </c>
      <c r="G34" s="31">
        <f t="shared" ref="G34:G39" si="5">AVERAGE(G6,G15,G24)/60</f>
        <v>2.2032722222222225</v>
      </c>
      <c r="H34" s="51">
        <f>STDEV(E6,E15,E24)</f>
        <v>1.9094065395649312E-2</v>
      </c>
      <c r="I34" s="50">
        <f>STDEV(F6,F15,F24)</f>
        <v>0.14813957382594745</v>
      </c>
      <c r="N34" s="12" t="s">
        <v>9</v>
      </c>
      <c r="O34" s="12">
        <v>500</v>
      </c>
      <c r="P34" s="12">
        <f>AVERAGE(P6,P15,P24)</f>
        <v>449</v>
      </c>
      <c r="Q34" s="21">
        <f>AVERAGE(Q6,Q15,Q24)</f>
        <v>0.89800000000000002</v>
      </c>
      <c r="R34" s="37">
        <f>AVERAGE(R6,R15,R24)</f>
        <v>1.0586133333333334</v>
      </c>
      <c r="S34" s="31">
        <f>AVERAGE(S6,S15,S24)</f>
        <v>529.42966666666666</v>
      </c>
      <c r="T34" s="51">
        <f t="shared" ref="T34:U39" si="6">STDEV(Q6,Q15,Q24)</f>
        <v>2.0000000000000018E-3</v>
      </c>
      <c r="U34" s="50">
        <f t="shared" si="6"/>
        <v>5.2213566564000669E-2</v>
      </c>
    </row>
    <row r="35" spans="1:21">
      <c r="B35" s="11" t="s">
        <v>10</v>
      </c>
      <c r="C35" s="11">
        <v>80</v>
      </c>
      <c r="D35" s="38">
        <f t="shared" si="4"/>
        <v>76.666666666666671</v>
      </c>
      <c r="E35" s="22">
        <f t="shared" si="4"/>
        <v>0.95833333333333337</v>
      </c>
      <c r="F35" s="38">
        <f t="shared" si="4"/>
        <v>45.390333333333331</v>
      </c>
      <c r="G35" s="32">
        <f t="shared" si="5"/>
        <v>60.521455555555555</v>
      </c>
      <c r="H35" s="51">
        <f t="shared" ref="H35:I35" si="7">STDEV(E7,E16,E25)</f>
        <v>7.21687836487036E-3</v>
      </c>
      <c r="I35" s="50">
        <f t="shared" si="7"/>
        <v>6.2853144180170855</v>
      </c>
      <c r="N35" s="11" t="s">
        <v>10</v>
      </c>
      <c r="O35" s="11">
        <v>500</v>
      </c>
      <c r="P35" s="53">
        <f>AVERAGE(P7,P16,P25)</f>
        <v>461.33333333333331</v>
      </c>
      <c r="Q35" s="22">
        <f t="shared" ref="Q35:S35" si="8">AVERAGE(Q7,Q16,Q25)</f>
        <v>0.92266666666666675</v>
      </c>
      <c r="R35" s="38">
        <f t="shared" si="8"/>
        <v>52.590146666666669</v>
      </c>
      <c r="S35" s="32">
        <f t="shared" si="8"/>
        <v>26295.179</v>
      </c>
      <c r="T35" s="51">
        <f t="shared" si="6"/>
        <v>6.1101009266077916E-3</v>
      </c>
      <c r="U35" s="50">
        <f t="shared" si="6"/>
        <v>3.4599944257951223</v>
      </c>
    </row>
    <row r="36" spans="1:21">
      <c r="B36" s="13" t="s">
        <v>11</v>
      </c>
      <c r="C36" s="13">
        <v>80</v>
      </c>
      <c r="D36" s="39">
        <f>AVERAGE(D8,D17,D26)</f>
        <v>74</v>
      </c>
      <c r="E36" s="23">
        <f t="shared" ref="E36:F39" si="9">AVERAGE(E8,E17,E26)</f>
        <v>0.92500000000000016</v>
      </c>
      <c r="F36" s="39">
        <f t="shared" si="9"/>
        <v>2.0496666666666665</v>
      </c>
      <c r="G36" s="33">
        <f t="shared" si="5"/>
        <v>2.7337666666666665</v>
      </c>
      <c r="H36" s="51">
        <f t="shared" ref="H36:I36" si="10">STDEV(E8,E17,E26)</f>
        <v>1.3597399555105182E-16</v>
      </c>
      <c r="I36" s="50">
        <f t="shared" si="10"/>
        <v>1.0785793124908943E-2</v>
      </c>
      <c r="N36" s="13" t="s">
        <v>11</v>
      </c>
      <c r="O36" s="13">
        <v>500</v>
      </c>
      <c r="P36" s="13">
        <f>AVERAGE(P8,P17,P26)</f>
        <v>449.33333333333331</v>
      </c>
      <c r="Q36" s="23">
        <f t="shared" ref="Q36:S36" si="11">AVERAGE(Q8,Q17,Q26)</f>
        <v>0.89866666666666672</v>
      </c>
      <c r="R36" s="39">
        <f t="shared" si="11"/>
        <v>1.3490666666666666</v>
      </c>
      <c r="S36" s="33">
        <f t="shared" si="11"/>
        <v>674.697</v>
      </c>
      <c r="T36" s="51">
        <f t="shared" si="6"/>
        <v>1.1547005383792527E-3</v>
      </c>
      <c r="U36" s="50">
        <f t="shared" si="6"/>
        <v>4.2892579000724275E-3</v>
      </c>
    </row>
    <row r="37" spans="1:21">
      <c r="B37" s="12" t="s">
        <v>12</v>
      </c>
      <c r="C37" s="12">
        <v>80</v>
      </c>
      <c r="D37" s="37">
        <f>AVERAGE(D9,D18,D27)</f>
        <v>73</v>
      </c>
      <c r="E37" s="21">
        <f t="shared" si="9"/>
        <v>0.91249999999999998</v>
      </c>
      <c r="F37" s="37">
        <f t="shared" si="9"/>
        <v>1.9983333333333333</v>
      </c>
      <c r="G37" s="31">
        <f t="shared" si="5"/>
        <v>2.6652611111111115</v>
      </c>
      <c r="H37" s="51">
        <f t="shared" ref="H37:I37" si="12">STDEV(E9,E18,E27)</f>
        <v>3.3071891388307371E-2</v>
      </c>
      <c r="I37" s="50">
        <f t="shared" si="12"/>
        <v>0.54337494728164781</v>
      </c>
      <c r="N37" s="12" t="s">
        <v>12</v>
      </c>
      <c r="O37" s="12">
        <v>500</v>
      </c>
      <c r="P37" s="12">
        <f>AVERAGE(P9,P18,P27)</f>
        <v>451</v>
      </c>
      <c r="Q37" s="21">
        <f t="shared" ref="Q37:S37" si="13">AVERAGE(Q9,Q18,Q27)</f>
        <v>0.90200000000000002</v>
      </c>
      <c r="R37" s="37">
        <f t="shared" si="13"/>
        <v>1.4867733333333335</v>
      </c>
      <c r="S37" s="31">
        <f t="shared" si="13"/>
        <v>743.54833333333329</v>
      </c>
      <c r="T37" s="51">
        <f t="shared" si="6"/>
        <v>2.0000000000000018E-3</v>
      </c>
      <c r="U37" s="50">
        <f t="shared" si="6"/>
        <v>5.3144566357562234E-2</v>
      </c>
    </row>
    <row r="38" spans="1:21">
      <c r="B38" s="11" t="s">
        <v>13</v>
      </c>
      <c r="C38" s="11">
        <v>80</v>
      </c>
      <c r="D38" s="38">
        <f>AVERAGE(D10,D19,D28)</f>
        <v>76.666666666666671</v>
      </c>
      <c r="E38" s="22">
        <f t="shared" si="9"/>
        <v>0.95833333333333337</v>
      </c>
      <c r="F38" s="38">
        <f t="shared" si="9"/>
        <v>212.98066666666668</v>
      </c>
      <c r="G38" s="32">
        <f t="shared" si="5"/>
        <v>283.97489444444443</v>
      </c>
      <c r="H38" s="51">
        <f t="shared" ref="H38:I38" si="14">STDEV(E10,E19,E28)</f>
        <v>7.2168783648703608E-3</v>
      </c>
      <c r="I38" s="50">
        <f t="shared" si="14"/>
        <v>2.6147308338208197</v>
      </c>
      <c r="N38" s="11" t="s">
        <v>13</v>
      </c>
      <c r="O38" s="11">
        <v>500</v>
      </c>
      <c r="P38" s="11">
        <f>AVERAGE(P10,P19,P28)</f>
        <v>468.66666666666669</v>
      </c>
      <c r="Q38" s="22">
        <f t="shared" ref="Q38:S38" si="15">AVERAGE(Q10,Q19,Q28)</f>
        <v>0.93729999999999991</v>
      </c>
      <c r="R38" s="38">
        <f t="shared" si="15"/>
        <v>231.40133333333333</v>
      </c>
      <c r="S38" s="32">
        <f t="shared" si="15"/>
        <v>115700.69566666667</v>
      </c>
      <c r="T38" s="51">
        <f t="shared" si="6"/>
        <v>4.9869830559166233E-3</v>
      </c>
      <c r="U38" s="50">
        <f t="shared" si="6"/>
        <v>27.135025607869512</v>
      </c>
    </row>
    <row r="39" spans="1:21" ht="17.100000000000001" thickBot="1">
      <c r="B39" s="14" t="s">
        <v>14</v>
      </c>
      <c r="C39" s="14">
        <v>80</v>
      </c>
      <c r="D39" s="40">
        <f>AVERAGE(D11,D20,D29)</f>
        <v>67.666666666666671</v>
      </c>
      <c r="E39" s="24">
        <f t="shared" si="9"/>
        <v>0.84583333333333333</v>
      </c>
      <c r="F39" s="40">
        <f t="shared" si="9"/>
        <v>87.819666666666663</v>
      </c>
      <c r="G39" s="34">
        <f t="shared" si="5"/>
        <v>117.04913333333333</v>
      </c>
      <c r="H39" s="51">
        <f t="shared" ref="H39:I39" si="16">STDEV(E11,E20,E29)</f>
        <v>1.4433756729740658E-2</v>
      </c>
      <c r="I39" s="50">
        <f t="shared" si="16"/>
        <v>3.3469875012215606</v>
      </c>
      <c r="N39" s="14" t="s">
        <v>14</v>
      </c>
      <c r="O39" s="41">
        <v>500</v>
      </c>
      <c r="P39" s="14">
        <f>AVERAGE(P11,P20,P29)</f>
        <v>440.33333333333331</v>
      </c>
      <c r="Q39" s="24">
        <f t="shared" ref="Q39:S39" si="17">AVERAGE(Q11,Q20,Q29)</f>
        <v>0.8806666666666666</v>
      </c>
      <c r="R39" s="40">
        <f t="shared" si="17"/>
        <v>79.500800000000012</v>
      </c>
      <c r="S39" s="34">
        <f t="shared" si="17"/>
        <v>39750.485000000008</v>
      </c>
      <c r="T39" s="51">
        <f t="shared" si="6"/>
        <v>1.1015141094572214E-2</v>
      </c>
      <c r="U39" s="50">
        <f t="shared" si="6"/>
        <v>10.794522496822054</v>
      </c>
    </row>
    <row r="41" spans="1:21">
      <c r="E41" s="42"/>
    </row>
    <row r="42" spans="1:21">
      <c r="N42" s="50">
        <f>STDEV(Q6,Q15)</f>
        <v>2.8284271247461927E-3</v>
      </c>
      <c r="O42" s="50">
        <f>STDEV(R6,R15)</f>
        <v>4.2284985514955437E-2</v>
      </c>
    </row>
    <row r="43" spans="1:21">
      <c r="E43" s="43"/>
      <c r="F43" s="50"/>
      <c r="H43" s="43"/>
      <c r="I43" s="50"/>
      <c r="N43" s="50">
        <f t="shared" ref="N43:O43" si="18">STDEV(Q7,Q16)</f>
        <v>5.6568542494923853E-3</v>
      </c>
      <c r="O43" s="50">
        <f t="shared" si="18"/>
        <v>3.1291313545135822</v>
      </c>
    </row>
    <row r="44" spans="1:21">
      <c r="E44" s="43"/>
      <c r="F44" s="50"/>
      <c r="H44" s="43"/>
      <c r="I44" s="50"/>
      <c r="N44" s="50">
        <f t="shared" ref="N44:O44" si="19">STDEV(Q8,Q17)</f>
        <v>1.4142135623730963E-3</v>
      </c>
      <c r="O44" s="50">
        <f t="shared" si="19"/>
        <v>4.9638896039295825E-3</v>
      </c>
    </row>
    <row r="45" spans="1:21">
      <c r="E45" s="43"/>
      <c r="F45" s="50"/>
      <c r="H45" s="43"/>
      <c r="I45" s="50"/>
      <c r="N45" s="50">
        <f t="shared" ref="N45:O45" si="20">STDEV(Q9,Q18)</f>
        <v>2.8284271247461927E-3</v>
      </c>
      <c r="O45" s="50">
        <f t="shared" si="20"/>
        <v>6.2409244507524692E-2</v>
      </c>
    </row>
    <row r="46" spans="1:21">
      <c r="A46" s="54"/>
      <c r="N46" s="50">
        <f t="shared" ref="N46:O46" si="21">STDEV(Q10,Q19)</f>
        <v>7.0003571337467563E-3</v>
      </c>
      <c r="O46" s="50">
        <f t="shared" si="21"/>
        <v>37.362051535792418</v>
      </c>
    </row>
    <row r="47" spans="1:21">
      <c r="N47" s="50">
        <f t="shared" ref="N47:O47" si="22">STDEV(Q11,Q20)</f>
        <v>8.4852813742385784E-3</v>
      </c>
      <c r="O47" s="50">
        <f t="shared" si="22"/>
        <v>13.661783845135226</v>
      </c>
    </row>
    <row r="64" ht="15.75"/>
    <row r="65" spans="13:13" ht="15.75"/>
    <row r="66" spans="13:13" ht="15.75"/>
    <row r="67" spans="13:13" ht="15.75"/>
    <row r="68" spans="13:13" ht="15.75"/>
    <row r="69" spans="13:13" ht="15.75"/>
    <row r="70" spans="13:13" ht="15.75"/>
    <row r="71" spans="13:13" ht="15.75"/>
    <row r="72" spans="13:13" ht="15.75"/>
    <row r="73" spans="13:13" ht="15.75"/>
    <row r="74" spans="13:13" ht="15.75"/>
    <row r="75" spans="13:13" ht="15.75"/>
    <row r="76" spans="13:13" ht="15.75"/>
    <row r="77" spans="13:13" ht="15.75"/>
    <row r="78" spans="13:13">
      <c r="M78" s="43"/>
    </row>
    <row r="79" spans="13:13">
      <c r="M79" s="43"/>
    </row>
    <row r="80" spans="13:13">
      <c r="M80" s="43"/>
    </row>
    <row r="81" spans="13:14">
      <c r="M81" s="43"/>
    </row>
    <row r="82" spans="13:14">
      <c r="M82" s="43"/>
    </row>
    <row r="83" spans="13:14">
      <c r="M83" s="43"/>
    </row>
    <row r="84" spans="13:14">
      <c r="M84" s="43"/>
    </row>
    <row r="85" spans="13:14">
      <c r="M85" s="43"/>
    </row>
    <row r="86" spans="13:14">
      <c r="M86" s="43"/>
    </row>
    <row r="87" spans="13:14">
      <c r="M87" s="43"/>
    </row>
    <row r="88" spans="13:14">
      <c r="M88" s="43"/>
    </row>
    <row r="89" spans="13:14">
      <c r="M89" s="43"/>
      <c r="N89" s="4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555-765b-4b1a-b316-525340316ec4" xsi:nil="true"/>
    <lcf76f155ced4ddcb4097134ff3c332f xmlns="5d55b3d5-c866-4089-81d1-4419affa2c4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3B5D38EA07441B442C3AB44D726DE" ma:contentTypeVersion="10" ma:contentTypeDescription="Create a new document." ma:contentTypeScope="" ma:versionID="0cb0bb33b6656357454cbf11b7be293f">
  <xsd:schema xmlns:xsd="http://www.w3.org/2001/XMLSchema" xmlns:xs="http://www.w3.org/2001/XMLSchema" xmlns:p="http://schemas.microsoft.com/office/2006/metadata/properties" xmlns:ns2="5d55b3d5-c866-4089-81d1-4419affa2c4b" xmlns:ns3="7f136555-765b-4b1a-b316-525340316ec4" targetNamespace="http://schemas.microsoft.com/office/2006/metadata/properties" ma:root="true" ma:fieldsID="40bcf14f2e1afff745b6656e2fba4710" ns2:_="" ns3:_="">
    <xsd:import namespace="5d55b3d5-c866-4089-81d1-4419affa2c4b"/>
    <xsd:import namespace="7f136555-765b-4b1a-b316-525340316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5b3d5-c866-4089-81d1-4419affa2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555-765b-4b1a-b316-525340316e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0dcb5-51de-43a8-bb1e-7cff8be3ac14}" ma:internalName="TaxCatchAll" ma:showField="CatchAllData" ma:web="7f136555-765b-4b1a-b316-525340316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686138-FD18-4EC7-8F91-E9504018926D}"/>
</file>

<file path=customXml/itemProps2.xml><?xml version="1.0" encoding="utf-8"?>
<ds:datastoreItem xmlns:ds="http://schemas.openxmlformats.org/officeDocument/2006/customXml" ds:itemID="{82728D78-15D3-42B9-91BD-B0D59533CB6B}"/>
</file>

<file path=customXml/itemProps3.xml><?xml version="1.0" encoding="utf-8"?>
<ds:datastoreItem xmlns:ds="http://schemas.openxmlformats.org/officeDocument/2006/customXml" ds:itemID="{3FA4B2CE-78D7-41D7-896E-3E3DEB5EB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Trongmo Neurauter</dc:creator>
  <cp:keywords/>
  <dc:description/>
  <cp:lastModifiedBy>Max Trongmo Neurauter</cp:lastModifiedBy>
  <cp:revision/>
  <dcterms:created xsi:type="dcterms:W3CDTF">2026-04-12T09:45:43Z</dcterms:created>
  <dcterms:modified xsi:type="dcterms:W3CDTF">2026-05-02T11:06:07Z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0x010100C003B5D38EA07441B442C3AB44D726DE</vt:lpwstr>
  </property>
  <property fmtid="{D5CDD505-2E9C-101B-9397-08002B2CF9AE}" pid="3" name="MediaServiceImageTags">
    <vt:lpwstr/>
  </property>
</Properties>
</file>