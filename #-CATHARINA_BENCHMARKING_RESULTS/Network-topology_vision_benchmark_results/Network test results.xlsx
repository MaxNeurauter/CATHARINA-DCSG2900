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BachelorBoys2026/Shared Documents/General/Test results/network/"/>
    </mc:Choice>
  </mc:AlternateContent>
  <xr:revisionPtr revIDLastSave="236" documentId="8_{7FCD99BB-9EE4-F845-B045-6240C839D8D5}" xr6:coauthVersionLast="47" xr6:coauthVersionMax="47" xr10:uidLastSave="{C0F4B7A4-1F3E-48E7-A8C9-B2FCEED13242}"/>
  <bookViews>
    <workbookView xWindow="13980" yWindow="660" windowWidth="15420" windowHeight="16660" xr2:uid="{530E74CD-B0AA-5749-A154-59CE6D13DF3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6" i="1" l="1"/>
  <c r="M7" i="1"/>
  <c r="M8" i="1"/>
  <c r="M9" i="1"/>
  <c r="M10" i="1"/>
  <c r="M5" i="1"/>
  <c r="L6" i="1"/>
  <c r="L7" i="1"/>
  <c r="L8" i="1"/>
  <c r="L9" i="1"/>
  <c r="L10" i="1"/>
  <c r="L5" i="1"/>
  <c r="J6" i="1"/>
  <c r="J7" i="1"/>
  <c r="J8" i="1"/>
  <c r="J9" i="1"/>
  <c r="J10" i="1"/>
  <c r="J5" i="1"/>
  <c r="I6" i="1"/>
  <c r="I7" i="1"/>
  <c r="I8" i="1"/>
  <c r="I9" i="1"/>
  <c r="I10" i="1"/>
  <c r="I5" i="1"/>
  <c r="H6" i="1"/>
  <c r="H7" i="1"/>
  <c r="H8" i="1"/>
  <c r="H9" i="1"/>
  <c r="H10" i="1"/>
  <c r="H5" i="1"/>
</calcChain>
</file>

<file path=xl/sharedStrings.xml><?xml version="1.0" encoding="utf-8"?>
<sst xmlns="http://schemas.openxmlformats.org/spreadsheetml/2006/main" count="47" uniqueCount="17">
  <si>
    <t>NETWORK TEST</t>
  </si>
  <si>
    <t>RUN 1</t>
  </si>
  <si>
    <t>AVG 3 RUNS</t>
  </si>
  <si>
    <t>Model Name</t>
  </si>
  <si>
    <t>Successful Extractions</t>
  </si>
  <si>
    <t>Average Score</t>
  </si>
  <si>
    <t>Average Time (s)</t>
  </si>
  <si>
    <t>AVG Score deviation</t>
  </si>
  <si>
    <t>AVG Time deviation</t>
  </si>
  <si>
    <t>gemma3_12b</t>
  </si>
  <si>
    <t>qwen3-vl_8b</t>
  </si>
  <si>
    <t>ministral-3_14b</t>
  </si>
  <si>
    <t>ministral-3_8b</t>
  </si>
  <si>
    <t>qwen3-vl_32b</t>
  </si>
  <si>
    <t>llama4_16x17b</t>
  </si>
  <si>
    <t>RUN 2</t>
  </si>
  <si>
    <t>RUN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</si>
</sst>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Border="1"/>
    <xf numFmtId="0" fontId="0" fillId="0" borderId="11" xfId="0" applyBorder="1"/>
    <xf numFmtId="0" fontId="0" fillId="0" borderId="12" xfId="0" applyBorder="1"/>
    <xf numFmtId="2" fontId="0" fillId="0" borderId="13" xfId="0" applyNumberFormat="1" applyBorder="1"/>
    <xf numFmtId="2" fontId="0" fillId="0" borderId="2" xfId="0" applyNumberFormat="1" applyBorder="1"/>
    <xf numFmtId="2" fontId="0" fillId="0" borderId="11" xfId="0" applyNumberFormat="1" applyBorder="1"/>
    <xf numFmtId="2" fontId="0" fillId="0" borderId="0" xfId="0" applyNumberFormat="1"/>
    <xf numFmtId="2" fontId="0" fillId="0" borderId="12" xfId="0" applyNumberFormat="1" applyBorder="1"/>
    <xf numFmtId="2" fontId="0" fillId="0" borderId="6" xfId="0" applyNumberForma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Network Topology </a:t>
            </a:r>
            <a:r>
              <a:rPr lang="nb-NO" baseline="0"/>
              <a:t> LLM-As-A-Judge Test Results</a:t>
            </a:r>
            <a:endParaRPr lang="nb-N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822370640221278"/>
                  <c:y val="-0.10087745058439576"/>
                </c:manualLayout>
              </c:layout>
              <c:tx>
                <c:rich>
                  <a:bodyPr/>
                  <a:lstStyle/>
                  <a:p>
                    <a:fld id="{5286A425-4128-7A42-B73D-0E8316F8B782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FCD6-7041-ABA8-E1C952D80113}"/>
                </c:ext>
              </c:extLst>
            </c:dLbl>
            <c:dLbl>
              <c:idx val="1"/>
              <c:layout>
                <c:manualLayout>
                  <c:x val="5.8196346518548388E-2"/>
                  <c:y val="-0.1695833167122936"/>
                </c:manualLayout>
              </c:layout>
              <c:tx>
                <c:rich>
                  <a:bodyPr/>
                  <a:lstStyle/>
                  <a:p>
                    <a:fld id="{68EA3814-94FD-E942-A240-563B488F387E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FCD6-7041-ABA8-E1C952D80113}"/>
                </c:ext>
              </c:extLst>
            </c:dLbl>
            <c:dLbl>
              <c:idx val="2"/>
              <c:layout>
                <c:manualLayout>
                  <c:x val="3.6895989965544038E-2"/>
                  <c:y val="-9.8211402387456181E-2"/>
                </c:manualLayout>
              </c:layout>
              <c:tx>
                <c:rich>
                  <a:bodyPr/>
                  <a:lstStyle/>
                  <a:p>
                    <a:fld id="{C73D0479-88A8-0348-8A17-EF4FE36257C0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FCD6-7041-ABA8-E1C952D80113}"/>
                </c:ext>
              </c:extLst>
            </c:dLbl>
            <c:dLbl>
              <c:idx val="3"/>
              <c:layout>
                <c:manualLayout>
                  <c:x val="-0.19403254701777267"/>
                  <c:y val="-4.7250793149338589E-2"/>
                </c:manualLayout>
              </c:layout>
              <c:tx>
                <c:rich>
                  <a:bodyPr/>
                  <a:lstStyle/>
                  <a:p>
                    <a:fld id="{84C15B9F-1EFA-9C4E-8BA3-9C694827D442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FCD6-7041-ABA8-E1C952D80113}"/>
                </c:ext>
              </c:extLst>
            </c:dLbl>
            <c:dLbl>
              <c:idx val="4"/>
              <c:layout>
                <c:manualLayout>
                  <c:x val="-0.22600525709545488"/>
                  <c:y val="-9.8331675238445909E-2"/>
                </c:manualLayout>
              </c:layout>
              <c:tx>
                <c:rich>
                  <a:bodyPr/>
                  <a:lstStyle/>
                  <a:p>
                    <a:fld id="{9923D265-2608-C84E-AE7A-AE33CC3C3384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FCD6-7041-ABA8-E1C952D80113}"/>
                </c:ext>
              </c:extLst>
            </c:dLbl>
            <c:dLbl>
              <c:idx val="5"/>
              <c:layout>
                <c:manualLayout>
                  <c:x val="-0.23935787977142628"/>
                  <c:y val="-0.10846967430312417"/>
                </c:manualLayout>
              </c:layout>
              <c:tx>
                <c:rich>
                  <a:bodyPr/>
                  <a:lstStyle/>
                  <a:p>
                    <a:fld id="{C9F895A6-2E62-004C-838A-8676A060DFD8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FCD6-7041-ABA8-E1C952D8011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x"/>
            <c:errBarType val="both"/>
            <c:errValType val="cust"/>
            <c:noEndCap val="0"/>
            <c:plus>
              <c:numRef>
                <c:f>Sheet1!$L$5:$L$10</c:f>
                <c:numCache>
                  <c:formatCode>0.000</c:formatCode>
                  <c:ptCount val="6"/>
                  <c:pt idx="0">
                    <c:v>0.80351311957760485</c:v>
                  </c:pt>
                  <c:pt idx="1">
                    <c:v>0.17473789896108224</c:v>
                  </c:pt>
                  <c:pt idx="2">
                    <c:v>0.10066445913694343</c:v>
                  </c:pt>
                  <c:pt idx="3">
                    <c:v>0.15143755588800717</c:v>
                  </c:pt>
                  <c:pt idx="4">
                    <c:v>0.30315012782448231</c:v>
                  </c:pt>
                  <c:pt idx="5">
                    <c:v>8.4852813742385777E-2</c:v>
                  </c:pt>
                </c:numCache>
              </c:numRef>
            </c:plus>
            <c:minus>
              <c:numRef>
                <c:f>Sheet1!$L$5:$L$10</c:f>
                <c:numCache>
                  <c:formatCode>0.000</c:formatCode>
                  <c:ptCount val="6"/>
                  <c:pt idx="0">
                    <c:v>0.80351311957760485</c:v>
                  </c:pt>
                  <c:pt idx="1">
                    <c:v>0.17473789896108224</c:v>
                  </c:pt>
                  <c:pt idx="2">
                    <c:v>0.10066445913694343</c:v>
                  </c:pt>
                  <c:pt idx="3">
                    <c:v>0.15143755588800717</c:v>
                  </c:pt>
                  <c:pt idx="4">
                    <c:v>0.30315012782448231</c:v>
                  </c:pt>
                  <c:pt idx="5">
                    <c:v>8.4852813742385777E-2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Sheet1!$M$5:$M$10</c:f>
                <c:numCache>
                  <c:formatCode>0.000</c:formatCode>
                  <c:ptCount val="6"/>
                  <c:pt idx="0">
                    <c:v>1.8824540720382348</c:v>
                  </c:pt>
                  <c:pt idx="1">
                    <c:v>3.5922462796046335</c:v>
                  </c:pt>
                  <c:pt idx="2">
                    <c:v>1.9824816098348355</c:v>
                  </c:pt>
                  <c:pt idx="3">
                    <c:v>0.77034624249965211</c:v>
                  </c:pt>
                  <c:pt idx="4">
                    <c:v>82.740799488523749</c:v>
                  </c:pt>
                  <c:pt idx="5">
                    <c:v>13.710322145498017</c:v>
                  </c:pt>
                </c:numCache>
              </c:numRef>
            </c:plus>
            <c:minus>
              <c:numRef>
                <c:f>Sheet1!$M$5:$M$10</c:f>
                <c:numCache>
                  <c:formatCode>0.000</c:formatCode>
                  <c:ptCount val="6"/>
                  <c:pt idx="0">
                    <c:v>1.8824540720382348</c:v>
                  </c:pt>
                  <c:pt idx="1">
                    <c:v>3.5922462796046335</c:v>
                  </c:pt>
                  <c:pt idx="2">
                    <c:v>1.9824816098348355</c:v>
                  </c:pt>
                  <c:pt idx="3">
                    <c:v>0.77034624249965211</c:v>
                  </c:pt>
                  <c:pt idx="4">
                    <c:v>82.740799488523749</c:v>
                  </c:pt>
                  <c:pt idx="5">
                    <c:v>13.710322145498017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Sheet1!$I$5:$I$10</c:f>
              <c:numCache>
                <c:formatCode>0.00</c:formatCode>
                <c:ptCount val="6"/>
                <c:pt idx="0">
                  <c:v>1.9333333333333333</c:v>
                </c:pt>
                <c:pt idx="1">
                  <c:v>3.4033333333333329</c:v>
                </c:pt>
                <c:pt idx="2">
                  <c:v>3.64</c:v>
                </c:pt>
                <c:pt idx="3">
                  <c:v>3.5066666666666664</c:v>
                </c:pt>
                <c:pt idx="4">
                  <c:v>3.67</c:v>
                </c:pt>
                <c:pt idx="5">
                  <c:v>3.1199999999999997</c:v>
                </c:pt>
              </c:numCache>
            </c:numRef>
          </c:xVal>
          <c:yVal>
            <c:numRef>
              <c:f>Sheet1!$J$5:$J$10</c:f>
              <c:numCache>
                <c:formatCode>0.00</c:formatCode>
                <c:ptCount val="6"/>
                <c:pt idx="0">
                  <c:v>45.313333333333333</c:v>
                </c:pt>
                <c:pt idx="1">
                  <c:v>120.57333333333334</c:v>
                </c:pt>
                <c:pt idx="2">
                  <c:v>65.963333333333338</c:v>
                </c:pt>
                <c:pt idx="3">
                  <c:v>45.493333333333339</c:v>
                </c:pt>
                <c:pt idx="4">
                  <c:v>642.66999999999996</c:v>
                </c:pt>
                <c:pt idx="5">
                  <c:v>187.02333333333331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Sheet1!$G$5:$G$10</c15:f>
                <c15:dlblRangeCache>
                  <c:ptCount val="6"/>
                  <c:pt idx="0">
                    <c:v>gemma3_12b</c:v>
                  </c:pt>
                  <c:pt idx="1">
                    <c:v>qwen3-vl_8b</c:v>
                  </c:pt>
                  <c:pt idx="2">
                    <c:v>ministral-3_14b</c:v>
                  </c:pt>
                  <c:pt idx="3">
                    <c:v>ministral-3_8b</c:v>
                  </c:pt>
                  <c:pt idx="4">
                    <c:v>qwen3-vl_32b</c:v>
                  </c:pt>
                  <c:pt idx="5">
                    <c:v>llama4_16x17b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FCD6-7041-ABA8-E1C952D801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8053951"/>
        <c:axId val="1318052607"/>
      </c:scatterChart>
      <c:valAx>
        <c:axId val="1318053951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Average Score (1-5)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052607"/>
        <c:crosses val="autoZero"/>
        <c:crossBetween val="midCat"/>
      </c:valAx>
      <c:valAx>
        <c:axId val="131805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Average</a:t>
                </a:r>
                <a:r>
                  <a:rPr lang="en-US" sz="1600" baseline="0"/>
                  <a:t> Time (seconds)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053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812800</xdr:colOff>
      <xdr:row>10</xdr:row>
      <xdr:rowOff>158750</xdr:rowOff>
    </xdr:from>
    <xdr:to>
      <xdr:col>16</xdr:col>
      <xdr:colOff>488461</xdr:colOff>
      <xdr:row>43</xdr:row>
      <xdr:rowOff>122995</xdr:rowOff>
    </xdr:to>
    <xdr:graphicFrame macro="">
      <xdr:nvGraphicFramePr>
        <xdr:cNvPr id="137" name="Chart 1">
          <a:extLst>
            <a:ext uri="{FF2B5EF4-FFF2-40B4-BE49-F238E27FC236}">
              <a16:creationId xmlns:a16="http://schemas.microsoft.com/office/drawing/2014/main" id="{4C312625-77DB-2B81-0B01-B4825B014C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1149A-A221-D14C-BD88-0A2E547E0146}">
  <dimension ref="B2:M28"/>
  <sheetViews>
    <sheetView tabSelected="1" topLeftCell="E5" zoomScale="75" workbookViewId="0">
      <selection activeCell="E40" sqref="E40"/>
    </sheetView>
  </sheetViews>
  <sheetFormatPr defaultColWidth="11" defaultRowHeight="15.95"/>
  <cols>
    <col min="2" max="2" width="13.875" bestFit="1" customWidth="1"/>
    <col min="3" max="3" width="19.5" bestFit="1" customWidth="1"/>
    <col min="4" max="4" width="12.5" bestFit="1" customWidth="1"/>
    <col min="5" max="5" width="14.125" bestFit="1" customWidth="1"/>
    <col min="7" max="7" width="13.875" bestFit="1" customWidth="1"/>
    <col min="8" max="8" width="19.5" bestFit="1" customWidth="1"/>
    <col min="9" max="9" width="12.5" bestFit="1" customWidth="1"/>
    <col min="10" max="10" width="14.125" bestFit="1" customWidth="1"/>
    <col min="12" max="12" width="17.5" bestFit="1" customWidth="1"/>
    <col min="13" max="13" width="16.625" bestFit="1" customWidth="1"/>
  </cols>
  <sheetData>
    <row r="2" spans="2:13">
      <c r="B2" t="s">
        <v>0</v>
      </c>
    </row>
    <row r="3" spans="2:13" ht="17.100000000000001" thickBot="1">
      <c r="B3" t="s">
        <v>1</v>
      </c>
      <c r="G3" t="s">
        <v>2</v>
      </c>
    </row>
    <row r="4" spans="2:13" ht="17.100000000000001" thickBot="1">
      <c r="B4" s="6" t="s">
        <v>3</v>
      </c>
      <c r="C4" s="9" t="s">
        <v>4</v>
      </c>
      <c r="D4" s="7" t="s">
        <v>5</v>
      </c>
      <c r="E4" s="9" t="s">
        <v>6</v>
      </c>
      <c r="G4" s="6" t="s">
        <v>3</v>
      </c>
      <c r="H4" s="9" t="s">
        <v>4</v>
      </c>
      <c r="I4" s="7" t="s">
        <v>5</v>
      </c>
      <c r="J4" s="9" t="s">
        <v>6</v>
      </c>
      <c r="L4" t="s">
        <v>7</v>
      </c>
      <c r="M4" t="s">
        <v>8</v>
      </c>
    </row>
    <row r="5" spans="2:13">
      <c r="B5" s="1" t="s">
        <v>9</v>
      </c>
      <c r="C5" s="10">
        <v>25</v>
      </c>
      <c r="D5">
        <v>1.92</v>
      </c>
      <c r="E5" s="10">
        <v>47.47</v>
      </c>
      <c r="G5" s="1" t="s">
        <v>9</v>
      </c>
      <c r="H5" s="12">
        <f>SUM(C5,C14,C23)/3</f>
        <v>25</v>
      </c>
      <c r="I5" s="13">
        <f>SUM(D5,D14,D23)/3</f>
        <v>1.9333333333333333</v>
      </c>
      <c r="J5" s="12">
        <f>SUM(E5,E14,E23)/3</f>
        <v>45.313333333333333</v>
      </c>
      <c r="L5" s="18">
        <f>STDEV(D5,D14,D24)</f>
        <v>0.80351311957760485</v>
      </c>
      <c r="M5" s="18">
        <f>STDEV(E5,E14,E23)</f>
        <v>1.8824540720382348</v>
      </c>
    </row>
    <row r="6" spans="2:13">
      <c r="B6" s="1" t="s">
        <v>10</v>
      </c>
      <c r="C6" s="10">
        <v>24</v>
      </c>
      <c r="D6">
        <v>3.38</v>
      </c>
      <c r="E6" s="10">
        <v>118.41</v>
      </c>
      <c r="G6" s="1" t="s">
        <v>10</v>
      </c>
      <c r="H6" s="14">
        <f t="shared" ref="H6:H10" si="0">SUM(C6,C15,C24)/3</f>
        <v>23.333333333333332</v>
      </c>
      <c r="I6" s="15">
        <f t="shared" ref="I6:I10" si="1">SUM(D6,D15,D24)/3</f>
        <v>3.4033333333333329</v>
      </c>
      <c r="J6" s="14">
        <f t="shared" ref="J6:J10" si="2">SUM(E6,E15,E24)/3</f>
        <v>120.57333333333334</v>
      </c>
      <c r="L6" s="18">
        <f t="shared" ref="L6:L10" si="3">STDEV(D6,D15,D25)</f>
        <v>0.17473789896108224</v>
      </c>
      <c r="M6" s="18">
        <f t="shared" ref="M6:M10" si="4">STDEV(E6,E15,E24)</f>
        <v>3.5922462796046335</v>
      </c>
    </row>
    <row r="7" spans="2:13">
      <c r="B7" s="1" t="s">
        <v>11</v>
      </c>
      <c r="C7" s="10">
        <v>25</v>
      </c>
      <c r="D7">
        <v>3.56</v>
      </c>
      <c r="E7" s="10">
        <v>64.150000000000006</v>
      </c>
      <c r="G7" s="1" t="s">
        <v>11</v>
      </c>
      <c r="H7" s="14">
        <f t="shared" si="0"/>
        <v>25</v>
      </c>
      <c r="I7" s="15">
        <f t="shared" si="1"/>
        <v>3.64</v>
      </c>
      <c r="J7" s="14">
        <f t="shared" si="2"/>
        <v>65.963333333333338</v>
      </c>
      <c r="L7" s="18">
        <f t="shared" si="3"/>
        <v>0.10066445913694343</v>
      </c>
      <c r="M7" s="18">
        <f t="shared" si="4"/>
        <v>1.9824816098348355</v>
      </c>
    </row>
    <row r="8" spans="2:13">
      <c r="B8" s="1" t="s">
        <v>12</v>
      </c>
      <c r="C8" s="10">
        <v>25</v>
      </c>
      <c r="D8">
        <v>3.52</v>
      </c>
      <c r="E8" s="10">
        <v>44.71</v>
      </c>
      <c r="G8" s="1" t="s">
        <v>12</v>
      </c>
      <c r="H8" s="14">
        <f t="shared" si="0"/>
        <v>25</v>
      </c>
      <c r="I8" s="15">
        <f t="shared" si="1"/>
        <v>3.5066666666666664</v>
      </c>
      <c r="J8" s="14">
        <f t="shared" si="2"/>
        <v>45.493333333333339</v>
      </c>
      <c r="L8" s="18">
        <f t="shared" si="3"/>
        <v>0.15143755588800717</v>
      </c>
      <c r="M8" s="18">
        <f t="shared" si="4"/>
        <v>0.77034624249965211</v>
      </c>
    </row>
    <row r="9" spans="2:13">
      <c r="B9" s="1" t="s">
        <v>13</v>
      </c>
      <c r="C9" s="10">
        <v>25</v>
      </c>
      <c r="D9">
        <v>3.6</v>
      </c>
      <c r="E9" s="10">
        <v>642.25</v>
      </c>
      <c r="G9" s="1" t="s">
        <v>13</v>
      </c>
      <c r="H9" s="14">
        <f t="shared" si="0"/>
        <v>24.333333333333332</v>
      </c>
      <c r="I9" s="15">
        <f t="shared" si="1"/>
        <v>3.67</v>
      </c>
      <c r="J9" s="14">
        <f t="shared" si="2"/>
        <v>642.66999999999996</v>
      </c>
      <c r="L9" s="18">
        <f t="shared" si="3"/>
        <v>0.30315012782448231</v>
      </c>
      <c r="M9" s="18">
        <f t="shared" si="4"/>
        <v>82.740799488523749</v>
      </c>
    </row>
    <row r="10" spans="2:13" ht="17.100000000000001" thickBot="1">
      <c r="B10" s="3" t="s">
        <v>14</v>
      </c>
      <c r="C10" s="11">
        <v>25</v>
      </c>
      <c r="D10" s="4">
        <v>3.08</v>
      </c>
      <c r="E10" s="11">
        <v>182.39</v>
      </c>
      <c r="G10" s="3" t="s">
        <v>14</v>
      </c>
      <c r="H10" s="16">
        <f t="shared" si="0"/>
        <v>25</v>
      </c>
      <c r="I10" s="17">
        <f t="shared" si="1"/>
        <v>3.1199999999999997</v>
      </c>
      <c r="J10" s="16">
        <f t="shared" si="2"/>
        <v>187.02333333333331</v>
      </c>
      <c r="L10" s="18">
        <f t="shared" si="3"/>
        <v>8.4852813742385777E-2</v>
      </c>
      <c r="M10" s="18">
        <f t="shared" si="4"/>
        <v>13.710322145498017</v>
      </c>
    </row>
    <row r="12" spans="2:13" ht="17.100000000000001" thickBot="1">
      <c r="B12" t="s">
        <v>15</v>
      </c>
    </row>
    <row r="13" spans="2:13" ht="17.100000000000001" thickBot="1">
      <c r="B13" s="6" t="s">
        <v>3</v>
      </c>
      <c r="C13" s="9" t="s">
        <v>4</v>
      </c>
      <c r="D13" s="9" t="s">
        <v>5</v>
      </c>
      <c r="E13" s="8" t="s">
        <v>6</v>
      </c>
    </row>
    <row r="14" spans="2:13">
      <c r="B14" s="1" t="s">
        <v>9</v>
      </c>
      <c r="C14" s="10">
        <v>25</v>
      </c>
      <c r="D14" s="10">
        <v>2</v>
      </c>
      <c r="E14" s="2">
        <v>44.47</v>
      </c>
    </row>
    <row r="15" spans="2:13">
      <c r="B15" s="1" t="s">
        <v>10</v>
      </c>
      <c r="C15" s="10">
        <v>23</v>
      </c>
      <c r="D15" s="10">
        <v>3.48</v>
      </c>
      <c r="E15" s="2">
        <v>118.59</v>
      </c>
    </row>
    <row r="16" spans="2:13">
      <c r="B16" s="1" t="s">
        <v>11</v>
      </c>
      <c r="C16" s="10">
        <v>25</v>
      </c>
      <c r="D16" s="10">
        <v>3.64</v>
      </c>
      <c r="E16" s="2">
        <v>68.08</v>
      </c>
    </row>
    <row r="17" spans="2:5">
      <c r="B17" s="1" t="s">
        <v>12</v>
      </c>
      <c r="C17" s="10">
        <v>25</v>
      </c>
      <c r="D17" s="10">
        <v>3.56</v>
      </c>
      <c r="E17" s="2">
        <v>45.52</v>
      </c>
    </row>
    <row r="18" spans="2:5">
      <c r="B18" s="1" t="s">
        <v>13</v>
      </c>
      <c r="C18" s="10">
        <v>23</v>
      </c>
      <c r="D18" s="10">
        <v>3.61</v>
      </c>
      <c r="E18" s="2">
        <v>725.62</v>
      </c>
    </row>
    <row r="19" spans="2:5" ht="17.100000000000001" thickBot="1">
      <c r="B19" s="3" t="s">
        <v>14</v>
      </c>
      <c r="C19" s="11">
        <v>25</v>
      </c>
      <c r="D19" s="11">
        <v>3.2</v>
      </c>
      <c r="E19" s="5">
        <v>202.45</v>
      </c>
    </row>
    <row r="21" spans="2:5" ht="17.100000000000001" thickBot="1">
      <c r="B21" t="s">
        <v>16</v>
      </c>
    </row>
    <row r="22" spans="2:5" ht="17.100000000000001" thickBot="1">
      <c r="B22" s="6" t="s">
        <v>3</v>
      </c>
      <c r="C22" s="9" t="s">
        <v>4</v>
      </c>
      <c r="D22" s="7" t="s">
        <v>5</v>
      </c>
      <c r="E22" s="9" t="s">
        <v>6</v>
      </c>
    </row>
    <row r="23" spans="2:5">
      <c r="B23" s="1" t="s">
        <v>9</v>
      </c>
      <c r="C23" s="10">
        <v>25</v>
      </c>
      <c r="D23">
        <v>1.88</v>
      </c>
      <c r="E23" s="10">
        <v>44</v>
      </c>
    </row>
    <row r="24" spans="2:5">
      <c r="B24" s="1" t="s">
        <v>10</v>
      </c>
      <c r="C24" s="10">
        <v>23</v>
      </c>
      <c r="D24">
        <v>3.35</v>
      </c>
      <c r="E24" s="10">
        <v>124.72</v>
      </c>
    </row>
    <row r="25" spans="2:5">
      <c r="B25" s="1" t="s">
        <v>11</v>
      </c>
      <c r="C25" s="10">
        <v>25</v>
      </c>
      <c r="D25">
        <v>3.72</v>
      </c>
      <c r="E25" s="10">
        <v>65.66</v>
      </c>
    </row>
    <row r="26" spans="2:5">
      <c r="B26" s="1" t="s">
        <v>12</v>
      </c>
      <c r="C26" s="10">
        <v>25</v>
      </c>
      <c r="D26">
        <v>3.44</v>
      </c>
      <c r="E26" s="10">
        <v>46.25</v>
      </c>
    </row>
    <row r="27" spans="2:5">
      <c r="B27" s="1" t="s">
        <v>13</v>
      </c>
      <c r="C27" s="10">
        <v>25</v>
      </c>
      <c r="D27">
        <v>3.8</v>
      </c>
      <c r="E27" s="10">
        <v>560.14</v>
      </c>
    </row>
    <row r="28" spans="2:5" ht="17.100000000000001" thickBot="1">
      <c r="B28" s="3" t="s">
        <v>14</v>
      </c>
      <c r="C28" s="11">
        <v>25</v>
      </c>
      <c r="D28" s="4">
        <v>3.08</v>
      </c>
      <c r="E28" s="11">
        <v>176.23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03B5D38EA07441B442C3AB44D726DE" ma:contentTypeVersion="10" ma:contentTypeDescription="Create a new document." ma:contentTypeScope="" ma:versionID="0cb0bb33b6656357454cbf11b7be293f">
  <xsd:schema xmlns:xsd="http://www.w3.org/2001/XMLSchema" xmlns:xs="http://www.w3.org/2001/XMLSchema" xmlns:p="http://schemas.microsoft.com/office/2006/metadata/properties" xmlns:ns2="5d55b3d5-c866-4089-81d1-4419affa2c4b" xmlns:ns3="7f136555-765b-4b1a-b316-525340316ec4" targetNamespace="http://schemas.microsoft.com/office/2006/metadata/properties" ma:root="true" ma:fieldsID="40bcf14f2e1afff745b6656e2fba4710" ns2:_="" ns3:_="">
    <xsd:import namespace="5d55b3d5-c866-4089-81d1-4419affa2c4b"/>
    <xsd:import namespace="7f136555-765b-4b1a-b316-525340316e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55b3d5-c866-4089-81d1-4419affa2c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136555-765b-4b1a-b316-525340316ec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4a0dcb5-51de-43a8-bb1e-7cff8be3ac14}" ma:internalName="TaxCatchAll" ma:showField="CatchAllData" ma:web="7f136555-765b-4b1a-b316-525340316e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136555-765b-4b1a-b316-525340316ec4" xsi:nil="true"/>
    <lcf76f155ced4ddcb4097134ff3c332f xmlns="5d55b3d5-c866-4089-81d1-4419affa2c4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810B50-7344-474F-B354-C1CD981610DB}"/>
</file>

<file path=customXml/itemProps2.xml><?xml version="1.0" encoding="utf-8"?>
<ds:datastoreItem xmlns:ds="http://schemas.openxmlformats.org/officeDocument/2006/customXml" ds:itemID="{BCA4CB7A-1840-4241-96E5-902A1828ECF2}"/>
</file>

<file path=customXml/itemProps3.xml><?xml version="1.0" encoding="utf-8"?>
<ds:datastoreItem xmlns:ds="http://schemas.openxmlformats.org/officeDocument/2006/customXml" ds:itemID="{0388CB00-4983-4F54-907A-2135EBF884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 Trongmo Neurauter</dc:creator>
  <cp:keywords/>
  <dc:description/>
  <cp:lastModifiedBy>Max Trongmo Neurauter</cp:lastModifiedBy>
  <cp:revision/>
  <dcterms:created xsi:type="dcterms:W3CDTF">2026-05-01T09:35:39Z</dcterms:created>
  <dcterms:modified xsi:type="dcterms:W3CDTF">2026-05-02T11:32:13Z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0x010100C003B5D38EA07441B442C3AB44D726DE</vt:lpwstr>
  </property>
  <property fmtid="{D5CDD505-2E9C-101B-9397-08002B2CF9AE}" pid="3" name="MediaServiceImageTags">
    <vt:lpwstr/>
  </property>
</Properties>
</file>