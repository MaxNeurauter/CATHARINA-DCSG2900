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PrimeVul/"/>
    </mc:Choice>
  </mc:AlternateContent>
  <xr:revisionPtr revIDLastSave="93" documentId="8_{687F751C-AAF6-614B-9133-8BF6FC6D84E5}" xr6:coauthVersionLast="47" xr6:coauthVersionMax="47" xr10:uidLastSave="{E0740A35-8BAF-41F5-85F5-C30A1288533F}"/>
  <bookViews>
    <workbookView xWindow="0" yWindow="680" windowWidth="19420" windowHeight="10300" xr2:uid="{7795C167-109D-BE44-A25D-9C437A2E8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S37" i="1" s="1"/>
  <c r="H28" i="1"/>
  <c r="H29" i="1"/>
  <c r="D29" i="1"/>
  <c r="M29" i="1" s="1"/>
  <c r="D28" i="1"/>
  <c r="M28" i="1" s="1"/>
  <c r="M37" i="1" s="1"/>
  <c r="H27" i="1"/>
  <c r="D27" i="1"/>
  <c r="M27" i="1" s="1"/>
  <c r="M36" i="1" s="1"/>
  <c r="H26" i="1"/>
  <c r="D26" i="1"/>
  <c r="M26" i="1" s="1"/>
  <c r="R35" i="1" s="1"/>
  <c r="H25" i="1"/>
  <c r="D25" i="1"/>
  <c r="M25" i="1" s="1"/>
  <c r="H24" i="1"/>
  <c r="D24" i="1"/>
  <c r="M24" i="1" s="1"/>
  <c r="M33" i="1" s="1"/>
  <c r="P29" i="1"/>
  <c r="P38" i="1" s="1"/>
  <c r="O29" i="1"/>
  <c r="O38" i="1" s="1"/>
  <c r="N29" i="1"/>
  <c r="N38" i="1" s="1"/>
  <c r="L29" i="1"/>
  <c r="L38" i="1" s="1"/>
  <c r="O28" i="1"/>
  <c r="O37" i="1" s="1"/>
  <c r="N28" i="1"/>
  <c r="N37" i="1" s="1"/>
  <c r="L28" i="1"/>
  <c r="L37" i="1" s="1"/>
  <c r="P27" i="1"/>
  <c r="P36" i="1" s="1"/>
  <c r="O27" i="1"/>
  <c r="O36" i="1" s="1"/>
  <c r="N27" i="1"/>
  <c r="N36" i="1" s="1"/>
  <c r="L27" i="1"/>
  <c r="L36" i="1" s="1"/>
  <c r="P26" i="1"/>
  <c r="S35" i="1" s="1"/>
  <c r="O26" i="1"/>
  <c r="O35" i="1" s="1"/>
  <c r="N26" i="1"/>
  <c r="N35" i="1" s="1"/>
  <c r="L26" i="1"/>
  <c r="L35" i="1" s="1"/>
  <c r="P25" i="1"/>
  <c r="P34" i="1" s="1"/>
  <c r="O25" i="1"/>
  <c r="O34" i="1" s="1"/>
  <c r="N25" i="1"/>
  <c r="N34" i="1" s="1"/>
  <c r="L25" i="1"/>
  <c r="L34" i="1" s="1"/>
  <c r="P24" i="1"/>
  <c r="S33" i="1" s="1"/>
  <c r="O24" i="1"/>
  <c r="O33" i="1" s="1"/>
  <c r="N24" i="1"/>
  <c r="N33" i="1" s="1"/>
  <c r="L24" i="1"/>
  <c r="L33" i="1" s="1"/>
  <c r="O15" i="1"/>
  <c r="O16" i="1"/>
  <c r="O17" i="1"/>
  <c r="O18" i="1"/>
  <c r="O19" i="1"/>
  <c r="O14" i="1"/>
  <c r="N15" i="1"/>
  <c r="N16" i="1"/>
  <c r="N17" i="1"/>
  <c r="N18" i="1"/>
  <c r="N19" i="1"/>
  <c r="N14" i="1"/>
  <c r="M15" i="1"/>
  <c r="M16" i="1"/>
  <c r="M17" i="1"/>
  <c r="M18" i="1"/>
  <c r="M19" i="1"/>
  <c r="M14" i="1"/>
  <c r="L15" i="1"/>
  <c r="L16" i="1"/>
  <c r="L17" i="1"/>
  <c r="L18" i="1"/>
  <c r="L19" i="1"/>
  <c r="L14" i="1"/>
  <c r="P19" i="1"/>
  <c r="P18" i="1"/>
  <c r="P17" i="1"/>
  <c r="P16" i="1"/>
  <c r="P15" i="1"/>
  <c r="P14" i="1"/>
  <c r="P5" i="1"/>
  <c r="P6" i="1"/>
  <c r="P7" i="1"/>
  <c r="P8" i="1"/>
  <c r="P9" i="1"/>
  <c r="P4" i="1"/>
  <c r="L5" i="1"/>
  <c r="L6" i="1"/>
  <c r="L7" i="1"/>
  <c r="L8" i="1"/>
  <c r="L9" i="1"/>
  <c r="L4" i="1"/>
  <c r="D7" i="1"/>
  <c r="D4" i="1"/>
  <c r="D5" i="1"/>
  <c r="D6" i="1"/>
  <c r="D8" i="1"/>
  <c r="D9" i="1"/>
  <c r="D14" i="1"/>
  <c r="H14" i="1"/>
  <c r="D15" i="1"/>
  <c r="H15" i="1"/>
  <c r="D16" i="1"/>
  <c r="H16" i="1"/>
  <c r="D17" i="1"/>
  <c r="H17" i="1"/>
  <c r="D18" i="1"/>
  <c r="H18" i="1"/>
  <c r="D19" i="1"/>
  <c r="H19" i="1"/>
  <c r="H5" i="1"/>
  <c r="H6" i="1"/>
  <c r="H7" i="1"/>
  <c r="H8" i="1"/>
  <c r="H9" i="1"/>
  <c r="H4" i="1"/>
  <c r="P35" i="1" l="1"/>
  <c r="R37" i="1"/>
  <c r="S38" i="1"/>
  <c r="P33" i="1"/>
  <c r="S34" i="1"/>
  <c r="P37" i="1"/>
  <c r="S36" i="1"/>
  <c r="M34" i="1"/>
  <c r="R34" i="1"/>
  <c r="R38" i="1"/>
  <c r="M38" i="1"/>
  <c r="R33" i="1"/>
  <c r="R36" i="1"/>
  <c r="M35" i="1"/>
</calcChain>
</file>

<file path=xl/sharedStrings.xml><?xml version="1.0" encoding="utf-8"?>
<sst xmlns="http://schemas.openxmlformats.org/spreadsheetml/2006/main" count="97" uniqueCount="24">
  <si>
    <t>ministral-3:8b</t>
  </si>
  <si>
    <t>Model</t>
  </si>
  <si>
    <t>Correctly identified vulnerable</t>
  </si>
  <si>
    <t>Correctly identified safe</t>
  </si>
  <si>
    <t>Accuracy</t>
  </si>
  <si>
    <t>Average Time</t>
  </si>
  <si>
    <t>Total Time</t>
  </si>
  <si>
    <t xml:space="preserve">Wrong </t>
  </si>
  <si>
    <t>Invalid answers</t>
  </si>
  <si>
    <t>qwen3-vl:8b</t>
  </si>
  <si>
    <t>gemma3:12b</t>
  </si>
  <si>
    <t>ministral-3:14b</t>
  </si>
  <si>
    <t>llama4:16x17b</t>
  </si>
  <si>
    <t>PrimeVul-200-1</t>
  </si>
  <si>
    <t>qwen3-vl:32b</t>
  </si>
  <si>
    <t xml:space="preserve">Vulnerability catch rate </t>
  </si>
  <si>
    <t>Invalid</t>
  </si>
  <si>
    <t>Avg time (sec)</t>
  </si>
  <si>
    <t xml:space="preserve">Total accuracy </t>
  </si>
  <si>
    <t>Safe catch rate</t>
  </si>
  <si>
    <t xml:space="preserve"> placeholder</t>
  </si>
  <si>
    <t>AVG OF 3 RUNS</t>
  </si>
  <si>
    <t>VCR Standard deviation</t>
  </si>
  <si>
    <t xml:space="preserve">Avg time standard 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</si>
</sst>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11" xfId="0" applyBorder="1"/>
    <xf numFmtId="9" fontId="0" fillId="0" borderId="9" xfId="1" applyFont="1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14" xfId="0" applyBorder="1"/>
    <xf numFmtId="9" fontId="0" fillId="0" borderId="8" xfId="1" applyFont="1" applyBorder="1"/>
    <xf numFmtId="0" fontId="0" fillId="0" borderId="15" xfId="0" applyBorder="1"/>
    <xf numFmtId="9" fontId="0" fillId="0" borderId="4" xfId="1" applyFont="1" applyBorder="1"/>
    <xf numFmtId="9" fontId="0" fillId="0" borderId="12" xfId="1" applyFont="1" applyBorder="1"/>
    <xf numFmtId="9" fontId="0" fillId="0" borderId="13" xfId="1" applyFont="1" applyBorder="1"/>
    <xf numFmtId="164" fontId="0" fillId="0" borderId="8" xfId="0" applyNumberFormat="1" applyBorder="1"/>
    <xf numFmtId="164" fontId="0" fillId="0" borderId="9" xfId="0" applyNumberFormat="1" applyBorder="1"/>
    <xf numFmtId="9" fontId="0" fillId="0" borderId="10" xfId="1" applyFont="1" applyBorder="1"/>
    <xf numFmtId="164" fontId="0" fillId="0" borderId="15" xfId="0" applyNumberFormat="1" applyBorder="1"/>
    <xf numFmtId="164" fontId="0" fillId="0" borderId="11" xfId="0" applyNumberFormat="1" applyBorder="1"/>
    <xf numFmtId="164" fontId="0" fillId="2" borderId="8" xfId="1" applyNumberFormat="1" applyFont="1" applyFill="1" applyBorder="1"/>
    <xf numFmtId="0" fontId="0" fillId="2" borderId="0" xfId="0" applyFill="1"/>
    <xf numFmtId="0" fontId="0" fillId="2" borderId="8" xfId="0" applyFill="1" applyBorder="1"/>
    <xf numFmtId="2" fontId="0" fillId="2" borderId="0" xfId="0" applyNumberFormat="1" applyFill="1"/>
    <xf numFmtId="0" fontId="0" fillId="2" borderId="10" xfId="0" applyFill="1" applyBorder="1"/>
    <xf numFmtId="164" fontId="0" fillId="2" borderId="9" xfId="1" applyNumberFormat="1" applyFont="1" applyFill="1" applyBorder="1"/>
    <xf numFmtId="0" fontId="0" fillId="2" borderId="5" xfId="0" applyFill="1" applyBorder="1"/>
    <xf numFmtId="0" fontId="0" fillId="2" borderId="9" xfId="0" applyFill="1" applyBorder="1"/>
    <xf numFmtId="2" fontId="0" fillId="2" borderId="5" xfId="0" applyNumberFormat="1" applyFill="1" applyBorder="1"/>
    <xf numFmtId="164" fontId="0" fillId="0" borderId="10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2" fontId="0" fillId="0" borderId="4" xfId="0" applyNumberFormat="1" applyBorder="1"/>
    <xf numFmtId="2" fontId="0" fillId="0" borderId="9" xfId="0" applyNumberFormat="1" applyBorder="1"/>
    <xf numFmtId="164" fontId="0" fillId="0" borderId="10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PrimeVul 200 Functions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Sheet1!$P$32</c:f>
              <c:strCache>
                <c:ptCount val="1"/>
                <c:pt idx="0">
                  <c:v>Avg time (sec)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043221733131195"/>
                  <c:y val="-0.14755425532067706"/>
                </c:manualLayout>
              </c:layout>
              <c:tx>
                <c:rich>
                  <a:bodyPr/>
                  <a:lstStyle/>
                  <a:p>
                    <a:fld id="{8D73F437-5115-4DF5-9504-635E3A324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22-D949-A581-C9DF1C549EFD}"/>
                </c:ext>
              </c:extLst>
            </c:dLbl>
            <c:dLbl>
              <c:idx val="1"/>
              <c:layout>
                <c:manualLayout>
                  <c:x val="-0.10636778962551621"/>
                  <c:y val="-8.5987806647237444E-2"/>
                </c:manualLayout>
              </c:layout>
              <c:tx>
                <c:rich>
                  <a:bodyPr/>
                  <a:lstStyle/>
                  <a:p>
                    <a:fld id="{8C7DA8C4-C1F1-428D-835A-7744970A7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22-D949-A581-C9DF1C549EFD}"/>
                </c:ext>
              </c:extLst>
            </c:dLbl>
            <c:dLbl>
              <c:idx val="2"/>
              <c:layout>
                <c:manualLayout>
                  <c:x val="-0.27362099481908475"/>
                  <c:y val="-3.8614141923511958E-3"/>
                </c:manualLayout>
              </c:layout>
              <c:tx>
                <c:rich>
                  <a:bodyPr/>
                  <a:lstStyle/>
                  <a:p>
                    <a:fld id="{CB352270-19DB-4F32-88C8-2D41EDE16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22-D949-A581-C9DF1C549EFD}"/>
                </c:ext>
              </c:extLst>
            </c:dLbl>
            <c:dLbl>
              <c:idx val="3"/>
              <c:layout>
                <c:manualLayout>
                  <c:x val="-0.16366085452542148"/>
                  <c:y val="-7.4430162789233825E-2"/>
                </c:manualLayout>
              </c:layout>
              <c:tx>
                <c:rich>
                  <a:bodyPr/>
                  <a:lstStyle/>
                  <a:p>
                    <a:fld id="{BD5F671B-2DE3-4B67-8923-42A6F0A21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22-D949-A581-C9DF1C549EFD}"/>
                </c:ext>
              </c:extLst>
            </c:dLbl>
            <c:dLbl>
              <c:idx val="4"/>
              <c:layout>
                <c:manualLayout>
                  <c:x val="2.9137406946327833E-2"/>
                  <c:y val="-3.3046406271769996E-2"/>
                </c:manualLayout>
              </c:layout>
              <c:tx>
                <c:rich>
                  <a:bodyPr/>
                  <a:lstStyle/>
                  <a:p>
                    <a:fld id="{248F0CB6-8CD3-4096-839B-FBF58DAA5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22-D949-A581-C9DF1C549EFD}"/>
                </c:ext>
              </c:extLst>
            </c:dLbl>
            <c:dLbl>
              <c:idx val="5"/>
              <c:layout>
                <c:manualLayout>
                  <c:x val="1.8016071898494024E-2"/>
                  <c:y val="-4.9503985211125145E-2"/>
                </c:manualLayout>
              </c:layout>
              <c:tx>
                <c:rich>
                  <a:bodyPr/>
                  <a:lstStyle/>
                  <a:p>
                    <a:fld id="{A651D454-ED92-46E3-A0A5-3703014DD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622-D949-A581-C9DF1C549E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Sheet1!$R$33:$R$38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2.6457513110645925E-2</c:v>
                  </c:pt>
                  <c:pt idx="2">
                    <c:v>2.3094010767585018E-2</c:v>
                  </c:pt>
                  <c:pt idx="3">
                    <c:v>5.7735026918962519E-2</c:v>
                  </c:pt>
                  <c:pt idx="4">
                    <c:v>9.999999999999995E-3</c:v>
                  </c:pt>
                  <c:pt idx="5">
                    <c:v>1.5275252316519465E-2</c:v>
                  </c:pt>
                </c:numCache>
              </c:numRef>
            </c:plus>
            <c:minus>
              <c:numRef>
                <c:f>Sheet1!$R$33:$R$38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2.6457513110645925E-2</c:v>
                  </c:pt>
                  <c:pt idx="2">
                    <c:v>2.3094010767585018E-2</c:v>
                  </c:pt>
                  <c:pt idx="3">
                    <c:v>5.7735026918962519E-2</c:v>
                  </c:pt>
                  <c:pt idx="4">
                    <c:v>9.999999999999995E-3</c:v>
                  </c:pt>
                  <c:pt idx="5">
                    <c:v>1.5275252316519465E-2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Sheet1!$S$33:$S$38</c:f>
                <c:numCache>
                  <c:formatCode>General</c:formatCode>
                  <c:ptCount val="6"/>
                  <c:pt idx="0">
                    <c:v>4.2861634359879659</c:v>
                  </c:pt>
                  <c:pt idx="1">
                    <c:v>15.843273180859232</c:v>
                  </c:pt>
                  <c:pt idx="2">
                    <c:v>0.47369320240003493</c:v>
                  </c:pt>
                  <c:pt idx="3">
                    <c:v>1.0131377415402785</c:v>
                  </c:pt>
                  <c:pt idx="4">
                    <c:v>65.651759418541147</c:v>
                  </c:pt>
                  <c:pt idx="5">
                    <c:v>3.1545113329959689</c:v>
                  </c:pt>
                </c:numCache>
              </c:numRef>
            </c:plus>
            <c:minus>
              <c:numRef>
                <c:f>Sheet1!$S$33:$S$38</c:f>
                <c:numCache>
                  <c:formatCode>General</c:formatCode>
                  <c:ptCount val="6"/>
                  <c:pt idx="0">
                    <c:v>4.2861634359879659</c:v>
                  </c:pt>
                  <c:pt idx="1">
                    <c:v>15.843273180859232</c:v>
                  </c:pt>
                  <c:pt idx="2">
                    <c:v>0.47369320240003493</c:v>
                  </c:pt>
                  <c:pt idx="3">
                    <c:v>1.0131377415402785</c:v>
                  </c:pt>
                  <c:pt idx="4">
                    <c:v>65.651759418541147</c:v>
                  </c:pt>
                  <c:pt idx="5">
                    <c:v>3.1545113329959689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Sheet1!$M$33:$M$38</c:f>
              <c:numCache>
                <c:formatCode>0.0%</c:formatCode>
                <c:ptCount val="6"/>
                <c:pt idx="0">
                  <c:v>0.45999999999999996</c:v>
                </c:pt>
                <c:pt idx="1">
                  <c:v>0.08</c:v>
                </c:pt>
                <c:pt idx="2">
                  <c:v>0.29333333333333339</c:v>
                </c:pt>
                <c:pt idx="3">
                  <c:v>0.30333333333333334</c:v>
                </c:pt>
                <c:pt idx="4">
                  <c:v>0.15000000000000002</c:v>
                </c:pt>
                <c:pt idx="5">
                  <c:v>0.13333333333333333</c:v>
                </c:pt>
              </c:numCache>
            </c:numRef>
          </c:xVal>
          <c:yVal>
            <c:numRef>
              <c:f>Sheet1!$P$33:$P$38</c:f>
              <c:numCache>
                <c:formatCode>0.00</c:formatCode>
                <c:ptCount val="6"/>
                <c:pt idx="0">
                  <c:v>20.349499999999999</c:v>
                </c:pt>
                <c:pt idx="1">
                  <c:v>168.30533333333332</c:v>
                </c:pt>
                <c:pt idx="2">
                  <c:v>17.597999999999999</c:v>
                </c:pt>
                <c:pt idx="3">
                  <c:v>29.574333333333332</c:v>
                </c:pt>
                <c:pt idx="4">
                  <c:v>566.54149999999993</c:v>
                </c:pt>
                <c:pt idx="5">
                  <c:v>108.28699999999999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Sheet1!$K$33:$K$38</c15:f>
                <c15:dlblRangeCache>
                  <c:ptCount val="6"/>
                  <c:pt idx="0">
                    <c:v>ministral-3:8b</c:v>
                  </c:pt>
                  <c:pt idx="1">
                    <c:v>qwen3-vl:8b</c:v>
                  </c:pt>
                  <c:pt idx="2">
                    <c:v>gemma3:12b</c:v>
                  </c:pt>
                  <c:pt idx="3">
                    <c:v>ministral-3:14b</c:v>
                  </c:pt>
                  <c:pt idx="4">
                    <c:v>qwen3-vl:32b</c:v>
                  </c:pt>
                  <c:pt idx="5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22-D949-A581-C9DF1C549E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85273279"/>
        <c:axId val="1985275967"/>
      </c:scatterChart>
      <c:valAx>
        <c:axId val="19852732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Vulnerability</a:t>
                </a:r>
                <a:r>
                  <a:rPr lang="en-US" sz="1600" baseline="0"/>
                  <a:t> catch rate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75967"/>
        <c:crosses val="autoZero"/>
        <c:crossBetween val="midCat"/>
      </c:valAx>
      <c:valAx>
        <c:axId val="1985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 time per response</a:t>
                </a:r>
                <a:r>
                  <a:rPr lang="en-US" sz="1600" baseline="0"/>
                  <a:t> </a:t>
                </a:r>
                <a:r>
                  <a:rPr lang="en-US" sz="1600"/>
                  <a:t>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7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</xdr:colOff>
      <xdr:row>43</xdr:row>
      <xdr:rowOff>71214</xdr:rowOff>
    </xdr:from>
    <xdr:to>
      <xdr:col>10</xdr:col>
      <xdr:colOff>970139</xdr:colOff>
      <xdr:row>82</xdr:row>
      <xdr:rowOff>156927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BDA67CDA-AF25-375E-9349-7C2142984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14B-B948-6442-A563-9FDD67221AB9}">
  <dimension ref="B1:S38"/>
  <sheetViews>
    <sheetView tabSelected="1" topLeftCell="A41" zoomScale="36" zoomScaleNormal="107" workbookViewId="0">
      <selection activeCell="M71" sqref="M71"/>
    </sheetView>
  </sheetViews>
  <sheetFormatPr baseColWidth="10" defaultRowHeight="16" x14ac:dyDescent="0.2"/>
  <cols>
    <col min="2" max="2" width="13.5" bestFit="1" customWidth="1"/>
    <col min="3" max="3" width="8.6640625" bestFit="1" customWidth="1"/>
    <col min="4" max="4" width="26" bestFit="1" customWidth="1"/>
    <col min="5" max="5" width="20.6640625" bestFit="1" customWidth="1"/>
    <col min="6" max="6" width="6.6640625" bestFit="1" customWidth="1"/>
    <col min="7" max="7" width="13.5" bestFit="1" customWidth="1"/>
    <col min="8" max="8" width="11.6640625" bestFit="1" customWidth="1"/>
    <col min="10" max="11" width="13.5" bestFit="1" customWidth="1"/>
    <col min="12" max="12" width="13.33203125" bestFit="1" customWidth="1"/>
    <col min="13" max="13" width="20.5" bestFit="1" customWidth="1"/>
    <col min="14" max="14" width="13.33203125" bestFit="1" customWidth="1"/>
    <col min="15" max="15" width="13.6640625" bestFit="1" customWidth="1"/>
    <col min="16" max="16" width="12.33203125" bestFit="1" customWidth="1"/>
    <col min="18" max="18" width="19.5" bestFit="1" customWidth="1"/>
    <col min="19" max="19" width="23" bestFit="1" customWidth="1"/>
  </cols>
  <sheetData>
    <row r="1" spans="2:16" ht="17" thickBot="1" x14ac:dyDescent="0.25"/>
    <row r="2" spans="2:16" ht="17" thickBot="1" x14ac:dyDescent="0.25">
      <c r="B2" s="1" t="s">
        <v>13</v>
      </c>
      <c r="C2" s="2"/>
      <c r="D2" s="2"/>
      <c r="E2" s="2"/>
      <c r="F2" s="2"/>
      <c r="G2" s="2"/>
      <c r="H2" s="2"/>
      <c r="I2" s="3"/>
    </row>
    <row r="3" spans="2:16" ht="17" thickBot="1" x14ac:dyDescent="0.25">
      <c r="B3" s="9" t="s">
        <v>1</v>
      </c>
      <c r="C3" s="9" t="s">
        <v>4</v>
      </c>
      <c r="D3" s="7" t="s">
        <v>2</v>
      </c>
      <c r="E3" s="9" t="s">
        <v>3</v>
      </c>
      <c r="F3" s="7" t="s">
        <v>7</v>
      </c>
      <c r="G3" s="9" t="s">
        <v>8</v>
      </c>
      <c r="H3" s="7" t="s">
        <v>5</v>
      </c>
      <c r="I3" s="8" t="s">
        <v>6</v>
      </c>
      <c r="K3" s="19" t="s">
        <v>1</v>
      </c>
      <c r="L3" s="9" t="s">
        <v>18</v>
      </c>
      <c r="M3" s="7" t="s">
        <v>15</v>
      </c>
      <c r="N3" s="9" t="s">
        <v>19</v>
      </c>
      <c r="O3" s="7" t="s">
        <v>16</v>
      </c>
      <c r="P3" s="9" t="s">
        <v>17</v>
      </c>
    </row>
    <row r="4" spans="2:16" x14ac:dyDescent="0.2">
      <c r="B4" s="10" t="s">
        <v>0</v>
      </c>
      <c r="C4" s="13">
        <v>0.59499999999999997</v>
      </c>
      <c r="D4">
        <f>SUM(200-E4-F4-G4)</f>
        <v>43</v>
      </c>
      <c r="E4" s="10">
        <v>76</v>
      </c>
      <c r="F4">
        <v>80</v>
      </c>
      <c r="G4" s="10">
        <v>1</v>
      </c>
      <c r="H4" s="4">
        <f>SUM(I4/200)</f>
        <v>25.252500000000001</v>
      </c>
      <c r="I4" s="12">
        <v>5050.5</v>
      </c>
      <c r="K4" s="21" t="s">
        <v>0</v>
      </c>
      <c r="L4" s="25">
        <f>SUM(C4)</f>
        <v>0.59499999999999997</v>
      </c>
      <c r="M4" s="22">
        <v>0.43</v>
      </c>
      <c r="N4" s="20">
        <v>0.76</v>
      </c>
      <c r="O4" s="10">
        <v>1</v>
      </c>
      <c r="P4" s="17">
        <f>SUM(I4/200)</f>
        <v>25.252500000000001</v>
      </c>
    </row>
    <row r="5" spans="2:16" x14ac:dyDescent="0.2">
      <c r="B5" s="10" t="s">
        <v>9</v>
      </c>
      <c r="C5" s="13">
        <v>0.52500000000000002</v>
      </c>
      <c r="D5">
        <f t="shared" ref="D5:D9" si="0">SUM(200-E5-F5-G5)</f>
        <v>9</v>
      </c>
      <c r="E5" s="10">
        <v>96</v>
      </c>
      <c r="F5">
        <v>34</v>
      </c>
      <c r="G5" s="10">
        <v>61</v>
      </c>
      <c r="H5" s="4">
        <f t="shared" ref="H5:H9" si="1">SUM(I5/200)</f>
        <v>184.55549999999999</v>
      </c>
      <c r="I5" s="10">
        <v>36911.1</v>
      </c>
      <c r="K5" s="21" t="s">
        <v>9</v>
      </c>
      <c r="L5" s="25">
        <f t="shared" ref="L5:L9" si="2">SUM(C5)</f>
        <v>0.52500000000000002</v>
      </c>
      <c r="M5" s="23">
        <v>0.09</v>
      </c>
      <c r="N5" s="20">
        <v>0.96</v>
      </c>
      <c r="O5" s="10">
        <v>61</v>
      </c>
      <c r="P5" s="17">
        <f t="shared" ref="P5:P9" si="3">SUM(I5/200)</f>
        <v>184.55549999999999</v>
      </c>
    </row>
    <row r="6" spans="2:16" x14ac:dyDescent="0.2">
      <c r="B6" s="10" t="s">
        <v>10</v>
      </c>
      <c r="C6" s="13">
        <v>0.63500000000000001</v>
      </c>
      <c r="D6">
        <f t="shared" si="0"/>
        <v>28</v>
      </c>
      <c r="E6" s="10">
        <v>99</v>
      </c>
      <c r="F6">
        <v>73</v>
      </c>
      <c r="G6" s="10">
        <v>0</v>
      </c>
      <c r="H6" s="4">
        <f t="shared" si="1"/>
        <v>17.9055</v>
      </c>
      <c r="I6" s="10">
        <v>3581.1</v>
      </c>
      <c r="K6" s="21" t="s">
        <v>10</v>
      </c>
      <c r="L6" s="25">
        <f t="shared" si="2"/>
        <v>0.63500000000000001</v>
      </c>
      <c r="M6" s="23">
        <v>0.28000000000000003</v>
      </c>
      <c r="N6" s="20">
        <v>0.99</v>
      </c>
      <c r="O6" s="10">
        <v>0</v>
      </c>
      <c r="P6" s="17">
        <f t="shared" si="3"/>
        <v>17.9055</v>
      </c>
    </row>
    <row r="7" spans="2:16" x14ac:dyDescent="0.2">
      <c r="B7" s="10" t="s">
        <v>11</v>
      </c>
      <c r="C7" s="13">
        <v>0.57999999999999996</v>
      </c>
      <c r="D7">
        <f t="shared" si="0"/>
        <v>37</v>
      </c>
      <c r="E7" s="10">
        <v>79</v>
      </c>
      <c r="F7">
        <v>84</v>
      </c>
      <c r="G7" s="10">
        <v>0</v>
      </c>
      <c r="H7" s="4">
        <f t="shared" si="1"/>
        <v>30.7225</v>
      </c>
      <c r="I7" s="10">
        <v>6144.5</v>
      </c>
      <c r="K7" s="21" t="s">
        <v>11</v>
      </c>
      <c r="L7" s="25">
        <f t="shared" si="2"/>
        <v>0.57999999999999996</v>
      </c>
      <c r="M7" s="23">
        <v>0.37</v>
      </c>
      <c r="N7" s="20">
        <v>0.79</v>
      </c>
      <c r="O7" s="10">
        <v>0</v>
      </c>
      <c r="P7" s="17">
        <f t="shared" si="3"/>
        <v>30.7225</v>
      </c>
    </row>
    <row r="8" spans="2:16" x14ac:dyDescent="0.2">
      <c r="B8" s="10" t="s">
        <v>9</v>
      </c>
      <c r="C8" s="13">
        <v>0.57499999999999996</v>
      </c>
      <c r="D8">
        <f t="shared" si="0"/>
        <v>15</v>
      </c>
      <c r="E8" s="10">
        <v>100</v>
      </c>
      <c r="F8">
        <v>52</v>
      </c>
      <c r="G8" s="10">
        <v>33</v>
      </c>
      <c r="H8" s="4">
        <f t="shared" si="1"/>
        <v>640.69500000000005</v>
      </c>
      <c r="I8" s="10">
        <v>128139</v>
      </c>
      <c r="K8" s="21" t="s">
        <v>14</v>
      </c>
      <c r="L8" s="25">
        <f t="shared" si="2"/>
        <v>0.57499999999999996</v>
      </c>
      <c r="M8" s="23">
        <v>0.15</v>
      </c>
      <c r="N8" s="20">
        <v>1</v>
      </c>
      <c r="O8" s="10">
        <v>33</v>
      </c>
      <c r="P8" s="17">
        <f t="shared" si="3"/>
        <v>640.69500000000005</v>
      </c>
    </row>
    <row r="9" spans="2:16" ht="17" thickBot="1" x14ac:dyDescent="0.25">
      <c r="B9" s="11" t="s">
        <v>12</v>
      </c>
      <c r="C9" s="14">
        <v>0.55500000000000005</v>
      </c>
      <c r="D9" s="5">
        <f t="shared" si="0"/>
        <v>12</v>
      </c>
      <c r="E9" s="11">
        <v>98</v>
      </c>
      <c r="F9" s="5">
        <v>90</v>
      </c>
      <c r="G9" s="11">
        <v>0</v>
      </c>
      <c r="H9" s="6">
        <f t="shared" si="1"/>
        <v>110.19850000000001</v>
      </c>
      <c r="I9" s="11">
        <v>22039.7</v>
      </c>
      <c r="K9" s="15" t="s">
        <v>12</v>
      </c>
      <c r="L9" s="26">
        <f t="shared" si="2"/>
        <v>0.55500000000000005</v>
      </c>
      <c r="M9" s="24">
        <v>0.12</v>
      </c>
      <c r="N9" s="16">
        <v>0.98</v>
      </c>
      <c r="O9" s="11">
        <v>0</v>
      </c>
      <c r="P9" s="18">
        <f t="shared" si="3"/>
        <v>110.19850000000001</v>
      </c>
    </row>
    <row r="11" spans="2:16" ht="17" thickBot="1" x14ac:dyDescent="0.25"/>
    <row r="12" spans="2:16" ht="17" thickBot="1" x14ac:dyDescent="0.25">
      <c r="B12" s="1" t="s">
        <v>13</v>
      </c>
      <c r="C12" s="2"/>
      <c r="D12" s="2"/>
      <c r="E12" s="2"/>
      <c r="F12" s="2"/>
      <c r="G12" s="2"/>
      <c r="H12" s="2"/>
      <c r="I12" s="3"/>
    </row>
    <row r="13" spans="2:16" ht="17" thickBot="1" x14ac:dyDescent="0.25">
      <c r="B13" s="9" t="s">
        <v>1</v>
      </c>
      <c r="C13" s="9" t="s">
        <v>4</v>
      </c>
      <c r="D13" s="7" t="s">
        <v>2</v>
      </c>
      <c r="E13" s="9" t="s">
        <v>3</v>
      </c>
      <c r="F13" s="7" t="s">
        <v>7</v>
      </c>
      <c r="G13" s="9" t="s">
        <v>8</v>
      </c>
      <c r="H13" s="7" t="s">
        <v>5</v>
      </c>
      <c r="I13" s="8" t="s">
        <v>6</v>
      </c>
      <c r="K13" s="19" t="s">
        <v>1</v>
      </c>
      <c r="L13" s="9" t="s">
        <v>18</v>
      </c>
      <c r="M13" s="2" t="s">
        <v>15</v>
      </c>
      <c r="N13" s="9" t="s">
        <v>19</v>
      </c>
      <c r="O13" s="7" t="s">
        <v>16</v>
      </c>
      <c r="P13" s="9" t="s">
        <v>17</v>
      </c>
    </row>
    <row r="14" spans="2:16" x14ac:dyDescent="0.2">
      <c r="B14" s="10" t="s">
        <v>0</v>
      </c>
      <c r="C14" s="13">
        <v>0.6</v>
      </c>
      <c r="D14">
        <f>SUM(200-E14-F14-G14)</f>
        <v>46</v>
      </c>
      <c r="E14" s="10">
        <v>74</v>
      </c>
      <c r="F14">
        <v>80</v>
      </c>
      <c r="G14" s="10">
        <v>0</v>
      </c>
      <c r="H14" s="4">
        <f>SUM(I14/200)</f>
        <v>18.482500000000002</v>
      </c>
      <c r="I14" s="12">
        <v>3696.5</v>
      </c>
      <c r="K14" s="21" t="s">
        <v>0</v>
      </c>
      <c r="L14" s="28">
        <f>SUM(C14)</f>
        <v>0.6</v>
      </c>
      <c r="M14" s="27">
        <f>SUM(D14/100)</f>
        <v>0.46</v>
      </c>
      <c r="N14" s="23">
        <f>SUM(E14/100)</f>
        <v>0.74</v>
      </c>
      <c r="O14" s="10">
        <f>SUM(G14)</f>
        <v>0</v>
      </c>
      <c r="P14" s="17">
        <f>SUM(I14/200)</f>
        <v>18.482500000000002</v>
      </c>
    </row>
    <row r="15" spans="2:16" x14ac:dyDescent="0.2">
      <c r="B15" s="10" t="s">
        <v>9</v>
      </c>
      <c r="C15" s="13">
        <v>0.52</v>
      </c>
      <c r="D15">
        <f t="shared" ref="D15:D19" si="4">SUM(200-E15-F15-G15)</f>
        <v>10</v>
      </c>
      <c r="E15" s="10">
        <v>94</v>
      </c>
      <c r="F15">
        <v>31</v>
      </c>
      <c r="G15" s="10">
        <v>65</v>
      </c>
      <c r="H15" s="4">
        <f t="shared" ref="H15:H19" si="5">SUM(I15/200)</f>
        <v>152.90299999999999</v>
      </c>
      <c r="I15" s="10">
        <v>30580.6</v>
      </c>
      <c r="K15" s="21" t="s">
        <v>9</v>
      </c>
      <c r="L15" s="28">
        <f t="shared" ref="L15:L19" si="6">SUM(C15)</f>
        <v>0.52</v>
      </c>
      <c r="M15" s="20">
        <f t="shared" ref="M15:M19" si="7">SUM(D15/100)</f>
        <v>0.1</v>
      </c>
      <c r="N15" s="23">
        <f t="shared" ref="N15:N19" si="8">SUM(E15/100)</f>
        <v>0.94</v>
      </c>
      <c r="O15" s="10">
        <f t="shared" ref="O15:O19" si="9">SUM(G15)</f>
        <v>65</v>
      </c>
      <c r="P15" s="17">
        <f t="shared" ref="P15:P19" si="10">SUM(I15/200)</f>
        <v>152.90299999999999</v>
      </c>
    </row>
    <row r="16" spans="2:16" x14ac:dyDescent="0.2">
      <c r="B16" s="10" t="s">
        <v>10</v>
      </c>
      <c r="C16" s="13">
        <v>0.65</v>
      </c>
      <c r="D16">
        <f t="shared" si="4"/>
        <v>32</v>
      </c>
      <c r="E16" s="10">
        <v>98</v>
      </c>
      <c r="F16">
        <v>70</v>
      </c>
      <c r="G16" s="10">
        <v>0</v>
      </c>
      <c r="H16" s="4">
        <f t="shared" si="5"/>
        <v>17.835999999999999</v>
      </c>
      <c r="I16" s="10">
        <v>3567.2</v>
      </c>
      <c r="K16" s="21" t="s">
        <v>10</v>
      </c>
      <c r="L16" s="28">
        <f t="shared" si="6"/>
        <v>0.65</v>
      </c>
      <c r="M16" s="20">
        <f t="shared" si="7"/>
        <v>0.32</v>
      </c>
      <c r="N16" s="23">
        <f t="shared" si="8"/>
        <v>0.98</v>
      </c>
      <c r="O16" s="10">
        <f t="shared" si="9"/>
        <v>0</v>
      </c>
      <c r="P16" s="17">
        <f t="shared" si="10"/>
        <v>17.835999999999999</v>
      </c>
    </row>
    <row r="17" spans="2:19" x14ac:dyDescent="0.2">
      <c r="B17" s="10" t="s">
        <v>11</v>
      </c>
      <c r="C17" s="13">
        <v>0.54</v>
      </c>
      <c r="D17">
        <f t="shared" si="4"/>
        <v>27</v>
      </c>
      <c r="E17" s="10">
        <v>81</v>
      </c>
      <c r="F17">
        <v>92</v>
      </c>
      <c r="G17" s="10">
        <v>0</v>
      </c>
      <c r="H17" s="4">
        <f t="shared" si="5"/>
        <v>29.194499999999998</v>
      </c>
      <c r="I17" s="10">
        <v>5838.9</v>
      </c>
      <c r="K17" s="21" t="s">
        <v>11</v>
      </c>
      <c r="L17" s="28">
        <f t="shared" si="6"/>
        <v>0.54</v>
      </c>
      <c r="M17" s="20">
        <f t="shared" si="7"/>
        <v>0.27</v>
      </c>
      <c r="N17" s="23">
        <f t="shared" si="8"/>
        <v>0.81</v>
      </c>
      <c r="O17" s="10">
        <f t="shared" si="9"/>
        <v>0</v>
      </c>
      <c r="P17" s="17">
        <f t="shared" si="10"/>
        <v>29.194499999999998</v>
      </c>
    </row>
    <row r="18" spans="2:19" x14ac:dyDescent="0.2">
      <c r="B18" s="10" t="s">
        <v>14</v>
      </c>
      <c r="C18" s="13">
        <v>0.56999999999999995</v>
      </c>
      <c r="D18">
        <f t="shared" si="4"/>
        <v>14</v>
      </c>
      <c r="E18" s="10">
        <v>100</v>
      </c>
      <c r="F18">
        <v>49</v>
      </c>
      <c r="G18" s="10">
        <v>37</v>
      </c>
      <c r="H18" s="4">
        <f t="shared" si="5"/>
        <v>515.82299999999998</v>
      </c>
      <c r="I18" s="10">
        <v>103164.6</v>
      </c>
      <c r="K18" s="21" t="s">
        <v>14</v>
      </c>
      <c r="L18" s="28">
        <f t="shared" si="6"/>
        <v>0.56999999999999995</v>
      </c>
      <c r="M18" s="20">
        <f t="shared" si="7"/>
        <v>0.14000000000000001</v>
      </c>
      <c r="N18" s="23">
        <f t="shared" si="8"/>
        <v>1</v>
      </c>
      <c r="O18" s="10">
        <f t="shared" si="9"/>
        <v>37</v>
      </c>
      <c r="P18" s="17">
        <f t="shared" si="10"/>
        <v>515.82299999999998</v>
      </c>
    </row>
    <row r="19" spans="2:19" ht="17" thickBot="1" x14ac:dyDescent="0.25">
      <c r="B19" s="11" t="s">
        <v>12</v>
      </c>
      <c r="C19" s="14">
        <v>0.55000000000000004</v>
      </c>
      <c r="D19" s="5">
        <f t="shared" si="4"/>
        <v>13</v>
      </c>
      <c r="E19" s="11">
        <v>97</v>
      </c>
      <c r="F19" s="5">
        <v>89</v>
      </c>
      <c r="G19" s="11">
        <v>1</v>
      </c>
      <c r="H19" s="6">
        <f t="shared" si="5"/>
        <v>110.01649999999999</v>
      </c>
      <c r="I19" s="11">
        <v>22003.3</v>
      </c>
      <c r="K19" s="15" t="s">
        <v>12</v>
      </c>
      <c r="L19" s="29">
        <f t="shared" si="6"/>
        <v>0.55000000000000004</v>
      </c>
      <c r="M19" s="16">
        <f t="shared" si="7"/>
        <v>0.13</v>
      </c>
      <c r="N19" s="16">
        <f t="shared" si="8"/>
        <v>0.97</v>
      </c>
      <c r="O19" s="11">
        <f t="shared" si="9"/>
        <v>1</v>
      </c>
      <c r="P19" s="18">
        <f t="shared" si="10"/>
        <v>110.01649999999999</v>
      </c>
    </row>
    <row r="21" spans="2:19" ht="17" thickBot="1" x14ac:dyDescent="0.25"/>
    <row r="22" spans="2:19" ht="17" thickBot="1" x14ac:dyDescent="0.25">
      <c r="B22" s="1" t="s">
        <v>13</v>
      </c>
      <c r="C22" s="2"/>
      <c r="D22" s="2"/>
      <c r="E22" s="2"/>
      <c r="F22" s="2"/>
      <c r="G22" s="2"/>
      <c r="H22" s="2"/>
      <c r="I22" s="3"/>
    </row>
    <row r="23" spans="2:19" ht="17" thickBot="1" x14ac:dyDescent="0.25">
      <c r="B23" s="9" t="s">
        <v>1</v>
      </c>
      <c r="C23" s="9" t="s">
        <v>4</v>
      </c>
      <c r="D23" s="7" t="s">
        <v>2</v>
      </c>
      <c r="E23" s="9" t="s">
        <v>3</v>
      </c>
      <c r="F23" s="7" t="s">
        <v>7</v>
      </c>
      <c r="G23" s="9" t="s">
        <v>8</v>
      </c>
      <c r="H23" s="7" t="s">
        <v>5</v>
      </c>
      <c r="I23" s="8" t="s">
        <v>6</v>
      </c>
      <c r="K23" s="19" t="s">
        <v>1</v>
      </c>
      <c r="L23" s="9" t="s">
        <v>18</v>
      </c>
      <c r="M23" s="2" t="s">
        <v>15</v>
      </c>
      <c r="N23" s="9" t="s">
        <v>19</v>
      </c>
      <c r="O23" s="7" t="s">
        <v>16</v>
      </c>
      <c r="P23" s="9" t="s">
        <v>17</v>
      </c>
    </row>
    <row r="24" spans="2:19" x14ac:dyDescent="0.2">
      <c r="B24" s="10" t="s">
        <v>0</v>
      </c>
      <c r="C24" s="30">
        <v>0.64500000000000002</v>
      </c>
      <c r="D24" s="31">
        <f>SUM(200-E24-F24-G24)</f>
        <v>49</v>
      </c>
      <c r="E24" s="32">
        <v>80</v>
      </c>
      <c r="F24" s="31">
        <v>71</v>
      </c>
      <c r="G24" s="32">
        <v>0</v>
      </c>
      <c r="H24" s="33">
        <f>SUM(I24/200)</f>
        <v>17.313499999999998</v>
      </c>
      <c r="I24" s="34">
        <v>3462.7</v>
      </c>
      <c r="K24" s="21" t="s">
        <v>0</v>
      </c>
      <c r="L24" s="28">
        <f>SUM(C24)</f>
        <v>0.64500000000000002</v>
      </c>
      <c r="M24" s="27">
        <f>SUM(D24/100)</f>
        <v>0.49</v>
      </c>
      <c r="N24" s="23">
        <f>SUM(E24/100)</f>
        <v>0.8</v>
      </c>
      <c r="O24" s="10">
        <f>SUM(G24)</f>
        <v>0</v>
      </c>
      <c r="P24" s="17">
        <f>SUM(I24/200)</f>
        <v>17.313499999999998</v>
      </c>
    </row>
    <row r="25" spans="2:19" x14ac:dyDescent="0.2">
      <c r="B25" s="10" t="s">
        <v>9</v>
      </c>
      <c r="C25" s="30">
        <v>0.52</v>
      </c>
      <c r="D25" s="31">
        <f t="shared" ref="D25:D29" si="11">SUM(200-E25-F25-G25)</f>
        <v>5</v>
      </c>
      <c r="E25" s="32">
        <v>99</v>
      </c>
      <c r="F25" s="31">
        <v>29</v>
      </c>
      <c r="G25" s="32">
        <v>67</v>
      </c>
      <c r="H25" s="33">
        <f t="shared" ref="H25:H27" si="12">SUM(I25/200)</f>
        <v>167.45750000000001</v>
      </c>
      <c r="I25" s="32">
        <v>33491.5</v>
      </c>
      <c r="K25" s="21" t="s">
        <v>9</v>
      </c>
      <c r="L25" s="28">
        <f t="shared" ref="L25:L29" si="13">SUM(C25)</f>
        <v>0.52</v>
      </c>
      <c r="M25" s="20">
        <f t="shared" ref="M25:M29" si="14">SUM(D25/100)</f>
        <v>0.05</v>
      </c>
      <c r="N25" s="23">
        <f t="shared" ref="N25:N29" si="15">SUM(E25/100)</f>
        <v>0.99</v>
      </c>
      <c r="O25" s="10">
        <f t="shared" ref="O25:O29" si="16">SUM(G25)</f>
        <v>67</v>
      </c>
      <c r="P25" s="17">
        <f t="shared" ref="P25:P27" si="17">SUM(I25/200)</f>
        <v>167.45750000000001</v>
      </c>
    </row>
    <row r="26" spans="2:19" x14ac:dyDescent="0.2">
      <c r="B26" s="10" t="s">
        <v>10</v>
      </c>
      <c r="C26" s="30">
        <v>0.625</v>
      </c>
      <c r="D26" s="31">
        <f t="shared" si="11"/>
        <v>28</v>
      </c>
      <c r="E26" s="32">
        <v>97</v>
      </c>
      <c r="F26" s="31">
        <v>75</v>
      </c>
      <c r="G26" s="32">
        <v>0</v>
      </c>
      <c r="H26" s="33">
        <f t="shared" si="12"/>
        <v>17.052499999999998</v>
      </c>
      <c r="I26" s="32">
        <v>3410.5</v>
      </c>
      <c r="K26" s="21" t="s">
        <v>10</v>
      </c>
      <c r="L26" s="28">
        <f t="shared" si="13"/>
        <v>0.625</v>
      </c>
      <c r="M26" s="20">
        <f t="shared" si="14"/>
        <v>0.28000000000000003</v>
      </c>
      <c r="N26" s="23">
        <f t="shared" si="15"/>
        <v>0.97</v>
      </c>
      <c r="O26" s="10">
        <f t="shared" si="16"/>
        <v>0</v>
      </c>
      <c r="P26" s="17">
        <f t="shared" si="17"/>
        <v>17.052499999999998</v>
      </c>
    </row>
    <row r="27" spans="2:19" x14ac:dyDescent="0.2">
      <c r="B27" s="10" t="s">
        <v>11</v>
      </c>
      <c r="C27" s="30">
        <v>0.54500000000000004</v>
      </c>
      <c r="D27" s="31">
        <f t="shared" si="11"/>
        <v>27</v>
      </c>
      <c r="E27" s="32">
        <v>82</v>
      </c>
      <c r="F27" s="31">
        <v>91</v>
      </c>
      <c r="G27" s="32">
        <v>0</v>
      </c>
      <c r="H27" s="33">
        <f t="shared" si="12"/>
        <v>28.805999999999997</v>
      </c>
      <c r="I27" s="32">
        <v>5761.2</v>
      </c>
      <c r="K27" s="21" t="s">
        <v>11</v>
      </c>
      <c r="L27" s="28">
        <f t="shared" si="13"/>
        <v>0.54500000000000004</v>
      </c>
      <c r="M27" s="20">
        <f t="shared" si="14"/>
        <v>0.27</v>
      </c>
      <c r="N27" s="23">
        <f t="shared" si="15"/>
        <v>0.82</v>
      </c>
      <c r="O27" s="10">
        <f t="shared" si="16"/>
        <v>0</v>
      </c>
      <c r="P27" s="17">
        <f t="shared" si="17"/>
        <v>28.805999999999997</v>
      </c>
    </row>
    <row r="28" spans="2:19" x14ac:dyDescent="0.2">
      <c r="B28" s="10" t="s">
        <v>14</v>
      </c>
      <c r="C28" s="30">
        <v>0.56999999999999995</v>
      </c>
      <c r="D28" s="31">
        <f t="shared" si="11"/>
        <v>16</v>
      </c>
      <c r="E28" s="32">
        <v>98</v>
      </c>
      <c r="F28" s="31">
        <v>54</v>
      </c>
      <c r="G28" s="32">
        <v>32</v>
      </c>
      <c r="H28" s="33">
        <f>SUM(I28/200)</f>
        <v>543.10649999999998</v>
      </c>
      <c r="I28" s="32">
        <v>108621.3</v>
      </c>
      <c r="K28" s="21" t="s">
        <v>14</v>
      </c>
      <c r="L28" s="28">
        <f t="shared" si="13"/>
        <v>0.56999999999999995</v>
      </c>
      <c r="M28" s="20">
        <f t="shared" si="14"/>
        <v>0.16</v>
      </c>
      <c r="N28" s="23">
        <f t="shared" si="15"/>
        <v>0.98</v>
      </c>
      <c r="O28" s="10">
        <f t="shared" si="16"/>
        <v>32</v>
      </c>
      <c r="P28" s="17">
        <f>SUM(I28/200)</f>
        <v>543.10649999999998</v>
      </c>
    </row>
    <row r="29" spans="2:19" ht="17" thickBot="1" x14ac:dyDescent="0.25">
      <c r="B29" s="11" t="s">
        <v>12</v>
      </c>
      <c r="C29" s="35">
        <v>0.56999999999999995</v>
      </c>
      <c r="D29" s="36">
        <f t="shared" si="11"/>
        <v>15</v>
      </c>
      <c r="E29" s="37">
        <v>99</v>
      </c>
      <c r="F29" s="36">
        <v>86</v>
      </c>
      <c r="G29" s="37">
        <v>0</v>
      </c>
      <c r="H29" s="38">
        <f>SUM(I29/200)</f>
        <v>104.646</v>
      </c>
      <c r="I29" s="37">
        <v>20929.2</v>
      </c>
      <c r="K29" s="15" t="s">
        <v>12</v>
      </c>
      <c r="L29" s="29">
        <f t="shared" si="13"/>
        <v>0.56999999999999995</v>
      </c>
      <c r="M29" s="16">
        <f t="shared" si="14"/>
        <v>0.15</v>
      </c>
      <c r="N29" s="16">
        <f t="shared" si="15"/>
        <v>0.99</v>
      </c>
      <c r="O29" s="11">
        <f t="shared" si="16"/>
        <v>0</v>
      </c>
      <c r="P29" s="18">
        <f>SUM(I29/200)</f>
        <v>104.646</v>
      </c>
    </row>
    <row r="31" spans="2:19" ht="17" thickBot="1" x14ac:dyDescent="0.25">
      <c r="C31" s="31"/>
      <c r="D31" s="31" t="s">
        <v>20</v>
      </c>
    </row>
    <row r="32" spans="2:19" ht="17" thickBot="1" x14ac:dyDescent="0.25">
      <c r="J32" t="s">
        <v>21</v>
      </c>
      <c r="K32" s="19" t="s">
        <v>1</v>
      </c>
      <c r="L32" s="9" t="s">
        <v>18</v>
      </c>
      <c r="M32" s="2" t="s">
        <v>15</v>
      </c>
      <c r="N32" s="9" t="s">
        <v>19</v>
      </c>
      <c r="O32" s="7" t="s">
        <v>16</v>
      </c>
      <c r="P32" s="9" t="s">
        <v>17</v>
      </c>
      <c r="R32" t="s">
        <v>22</v>
      </c>
      <c r="S32" t="s">
        <v>23</v>
      </c>
    </row>
    <row r="33" spans="11:19" x14ac:dyDescent="0.2">
      <c r="K33" s="21" t="s">
        <v>0</v>
      </c>
      <c r="L33" s="39">
        <f>SUM(L4,L14,L24)/3</f>
        <v>0.61333333333333329</v>
      </c>
      <c r="M33" s="44">
        <f>SUM(M4,M14,M24)/3</f>
        <v>0.45999999999999996</v>
      </c>
      <c r="N33" s="44">
        <f>SUM(N4,N14,N24)/3</f>
        <v>0.76666666666666661</v>
      </c>
      <c r="O33" s="41">
        <f>SUM(O4,O14,O24)/3</f>
        <v>0.33333333333333331</v>
      </c>
      <c r="P33" s="42">
        <f>SUM(P4,P14,P24)/3</f>
        <v>20.349499999999999</v>
      </c>
      <c r="R33">
        <f>STDEV(M4,M14,M24)</f>
        <v>0.03</v>
      </c>
      <c r="S33">
        <f>STDEV(P4,P14,P24)</f>
        <v>4.2861634359879659</v>
      </c>
    </row>
    <row r="34" spans="11:19" x14ac:dyDescent="0.2">
      <c r="K34" s="21" t="s">
        <v>9</v>
      </c>
      <c r="L34" s="25">
        <f t="shared" ref="L34:P38" si="18">SUM(L5,L15,L25)/3</f>
        <v>0.52166666666666661</v>
      </c>
      <c r="M34" s="13">
        <f t="shared" si="18"/>
        <v>0.08</v>
      </c>
      <c r="N34" s="13">
        <f t="shared" si="18"/>
        <v>0.96333333333333326</v>
      </c>
      <c r="O34" s="40">
        <f t="shared" si="18"/>
        <v>64.333333333333329</v>
      </c>
      <c r="P34" s="17">
        <f t="shared" si="18"/>
        <v>168.30533333333332</v>
      </c>
      <c r="R34">
        <f t="shared" ref="R34:R38" si="19">STDEV(M5,M15,M25)</f>
        <v>2.6457513110645925E-2</v>
      </c>
      <c r="S34">
        <f t="shared" ref="S34:S38" si="20">STDEV(P5,P15,P25)</f>
        <v>15.843273180859232</v>
      </c>
    </row>
    <row r="35" spans="11:19" x14ac:dyDescent="0.2">
      <c r="K35" s="21" t="s">
        <v>10</v>
      </c>
      <c r="L35" s="25">
        <f t="shared" si="18"/>
        <v>0.63666666666666671</v>
      </c>
      <c r="M35" s="13">
        <f t="shared" si="18"/>
        <v>0.29333333333333339</v>
      </c>
      <c r="N35" s="13">
        <f t="shared" si="18"/>
        <v>0.98</v>
      </c>
      <c r="O35" s="40">
        <f t="shared" si="18"/>
        <v>0</v>
      </c>
      <c r="P35" s="17">
        <f t="shared" si="18"/>
        <v>17.597999999999999</v>
      </c>
      <c r="R35">
        <f t="shared" si="19"/>
        <v>2.3094010767585018E-2</v>
      </c>
      <c r="S35">
        <f t="shared" si="20"/>
        <v>0.47369320240003493</v>
      </c>
    </row>
    <row r="36" spans="11:19" x14ac:dyDescent="0.2">
      <c r="K36" s="21" t="s">
        <v>11</v>
      </c>
      <c r="L36" s="25">
        <f t="shared" si="18"/>
        <v>0.55500000000000005</v>
      </c>
      <c r="M36" s="13">
        <f t="shared" si="18"/>
        <v>0.30333333333333334</v>
      </c>
      <c r="N36" s="13">
        <f t="shared" si="18"/>
        <v>0.80666666666666664</v>
      </c>
      <c r="O36" s="40">
        <f t="shared" si="18"/>
        <v>0</v>
      </c>
      <c r="P36" s="17">
        <f t="shared" si="18"/>
        <v>29.574333333333332</v>
      </c>
      <c r="R36">
        <f t="shared" si="19"/>
        <v>5.7735026918962519E-2</v>
      </c>
      <c r="S36">
        <f t="shared" si="20"/>
        <v>1.0131377415402785</v>
      </c>
    </row>
    <row r="37" spans="11:19" x14ac:dyDescent="0.2">
      <c r="K37" s="21" t="s">
        <v>14</v>
      </c>
      <c r="L37" s="25">
        <f t="shared" si="18"/>
        <v>0.57166666666666666</v>
      </c>
      <c r="M37" s="13">
        <f t="shared" si="18"/>
        <v>0.15000000000000002</v>
      </c>
      <c r="N37" s="13">
        <f t="shared" si="18"/>
        <v>0.99333333333333329</v>
      </c>
      <c r="O37" s="40">
        <f t="shared" si="18"/>
        <v>34</v>
      </c>
      <c r="P37" s="17">
        <f t="shared" si="18"/>
        <v>566.54149999999993</v>
      </c>
      <c r="R37">
        <f t="shared" si="19"/>
        <v>9.999999999999995E-3</v>
      </c>
      <c r="S37">
        <f t="shared" si="20"/>
        <v>65.651759418541147</v>
      </c>
    </row>
    <row r="38" spans="11:19" ht="17" thickBot="1" x14ac:dyDescent="0.25">
      <c r="K38" s="15" t="s">
        <v>12</v>
      </c>
      <c r="L38" s="26">
        <f t="shared" si="18"/>
        <v>0.55833333333333324</v>
      </c>
      <c r="M38" s="14">
        <f t="shared" si="18"/>
        <v>0.13333333333333333</v>
      </c>
      <c r="N38" s="14">
        <f t="shared" si="18"/>
        <v>0.98</v>
      </c>
      <c r="O38" s="43">
        <f t="shared" si="18"/>
        <v>0.33333333333333331</v>
      </c>
      <c r="P38" s="18">
        <f t="shared" si="18"/>
        <v>108.28699999999999</v>
      </c>
      <c r="R38">
        <f t="shared" si="19"/>
        <v>1.5275252316519465E-2</v>
      </c>
      <c r="S38">
        <f t="shared" si="20"/>
        <v>3.1545113329959689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F3F16C-F527-4CDD-BC7B-99B9D8DDF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BBF6E2-55E8-4F83-8DA0-87B93796732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5d55b3d5-c866-4089-81d1-4419affa2c4b"/>
    <ds:schemaRef ds:uri="7f136555-765b-4b1a-b316-525340316ec4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947A43-9E59-41BD-B91A-9D1AA7DCA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5b3d5-c866-4089-81d1-4419affa2c4b"/>
    <ds:schemaRef ds:uri="7f136555-765b-4b1a-b316-525340316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Trongmo Neurauter</dc:creator>
  <cp:lastModifiedBy>Max Trongmo Neurauter</cp:lastModifiedBy>
  <dcterms:created xsi:type="dcterms:W3CDTF">2026-04-15T07:58:56Z</dcterms:created>
  <dcterms:modified xsi:type="dcterms:W3CDTF">2026-04-29T08:34:41Z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