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.sharepoint.com/sites/o365_BachelorBoys2026/Shared Documents/General/Test results/CTISum/CTISum_Vision_Results_V2_1/"/>
    </mc:Choice>
  </mc:AlternateContent>
  <xr:revisionPtr revIDLastSave="1030" documentId="11_109AA5FC69E05A0FD18DCD9610509E723B73F6F9" xr6:coauthVersionLast="47" xr6:coauthVersionMax="47" xr10:uidLastSave="{B05B54BF-4817-4A75-82C7-9243D7022963}"/>
  <bookViews>
    <workbookView xWindow="-110" yWindow="-110" windowWidth="19420" windowHeight="10300" xr2:uid="{00000000-000D-0000-FFFF-FFFF00000000}"/>
  </bookViews>
  <sheets>
    <sheet name="Ark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P21" i="1"/>
  <c r="P22" i="1"/>
  <c r="P23" i="1"/>
  <c r="P19" i="1"/>
  <c r="O20" i="1"/>
  <c r="O21" i="1"/>
  <c r="O22" i="1"/>
  <c r="O23" i="1"/>
  <c r="O19" i="1"/>
  <c r="N20" i="1"/>
  <c r="N21" i="1"/>
  <c r="N22" i="1"/>
  <c r="N23" i="1"/>
  <c r="N19" i="1"/>
  <c r="M20" i="1"/>
  <c r="M21" i="1"/>
  <c r="M22" i="1"/>
  <c r="M23" i="1"/>
  <c r="M19" i="1"/>
  <c r="L20" i="1"/>
  <c r="L21" i="1"/>
  <c r="L22" i="1"/>
  <c r="L23" i="1"/>
  <c r="L19" i="1"/>
  <c r="K29" i="1"/>
  <c r="K30" i="1"/>
  <c r="K31" i="1"/>
  <c r="K32" i="1"/>
  <c r="K28" i="1"/>
  <c r="J29" i="1"/>
  <c r="J30" i="1"/>
  <c r="J31" i="1"/>
  <c r="J32" i="1"/>
  <c r="J28" i="1"/>
  <c r="I29" i="1"/>
  <c r="I30" i="1"/>
  <c r="I31" i="1"/>
  <c r="I32" i="1"/>
  <c r="I28" i="1"/>
  <c r="H29" i="1"/>
  <c r="H30" i="1"/>
  <c r="H31" i="1"/>
  <c r="H32" i="1"/>
  <c r="H28" i="1"/>
  <c r="G29" i="1"/>
  <c r="G30" i="1"/>
  <c r="G31" i="1"/>
  <c r="G32" i="1"/>
  <c r="G28" i="1"/>
  <c r="F29" i="1"/>
  <c r="F30" i="1"/>
  <c r="F31" i="1"/>
  <c r="F32" i="1"/>
  <c r="F28" i="1"/>
  <c r="E29" i="1"/>
  <c r="E30" i="1"/>
  <c r="E31" i="1"/>
  <c r="E32" i="1"/>
  <c r="E28" i="1"/>
</calcChain>
</file>

<file path=xl/sharedStrings.xml><?xml version="1.0" encoding="utf-8"?>
<sst xmlns="http://schemas.openxmlformats.org/spreadsheetml/2006/main" count="70" uniqueCount="27">
  <si>
    <t>Run 1</t>
  </si>
  <si>
    <t>Model</t>
  </si>
  <si>
    <t>ministral-3:8b</t>
  </si>
  <si>
    <t>gemma3:12b</t>
  </si>
  <si>
    <t>ministral-3:14b</t>
  </si>
  <si>
    <t>qwen3-vl:32b</t>
  </si>
  <si>
    <t>llama4:16x17b</t>
  </si>
  <si>
    <t>Total Reports</t>
  </si>
  <si>
    <t>Total Time Used</t>
  </si>
  <si>
    <t>Time Per Report</t>
  </si>
  <si>
    <t>Avg Bert Score</t>
  </si>
  <si>
    <t>Average Rouge1 Score</t>
  </si>
  <si>
    <t>Average Rouge2 Score</t>
  </si>
  <si>
    <t>Average RougeL Score</t>
  </si>
  <si>
    <t>CTISum Report Summarization Test</t>
  </si>
  <si>
    <t>seconds</t>
  </si>
  <si>
    <t>qwen3-vl:8b left out of test due to bug</t>
  </si>
  <si>
    <t>Run 2</t>
  </si>
  <si>
    <t>standard avvik tid</t>
  </si>
  <si>
    <t>Standard avvik accuracy</t>
  </si>
  <si>
    <t>Average</t>
  </si>
  <si>
    <t>bertscore</t>
  </si>
  <si>
    <t>rouge1</t>
  </si>
  <si>
    <t>standard avvik accuracy</t>
  </si>
  <si>
    <t>rouge2</t>
  </si>
  <si>
    <t>rougeL</t>
  </si>
  <si>
    <t>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</si>
</sst>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1" fillId="0" borderId="4" xfId="0" applyFont="1" applyBorder="1"/>
    <xf numFmtId="1" fontId="0" fillId="0" borderId="8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2" fontId="0" fillId="2" borderId="3" xfId="0" applyNumberFormat="1" applyFill="1" applyBorder="1"/>
    <xf numFmtId="2" fontId="0" fillId="0" borderId="5" xfId="0" applyNumberFormat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0" fontId="0" fillId="3" borderId="6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0" fontId="0" fillId="3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6C6AD"/>
      <color rgb="FF47D45A"/>
      <color rgb="FFF2AA84"/>
      <color rgb="FF4E95D9"/>
      <color rgb="FFD86ECC"/>
      <color rgb="FFA6CA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CTISum</a:t>
            </a:r>
            <a:r>
              <a:rPr lang="en-GB" baseline="0"/>
              <a:t> Summarization Report BERTScore Test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F2AA8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CD1-467C-A189-98E5F5CF865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47D45A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CD1-467C-A189-98E5F5CF865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F6C6AD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CD1-467C-A189-98E5F5CF865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4E95D9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CD1-467C-A189-98E5F5CF865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D86EC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CD1-467C-A189-98E5F5CF865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8E5297D-0C6D-4AB4-9D51-C94CC02E2AF9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CD1-467C-A189-98E5F5CF86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9D72AD-B222-42EC-80A0-8033CB230E89}" type="CELLRANGE">
                      <a:rPr lang="en-GB"/>
                      <a:pPr/>
                      <a:t>[CELLEOMRÅDE]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CD1-467C-A189-98E5F5CF86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2BC764-242C-44B0-ADE1-1B9EB5ED002A}" type="CELLRANGE">
                      <a:rPr lang="en-GB"/>
                      <a:pPr/>
                      <a:t>[CELLEOMRÅDE]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CD1-467C-A189-98E5F5CF86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605986-3D5B-4F79-9882-1AC4D787BB60}" type="CELLRANGE">
                      <a:rPr lang="en-GB"/>
                      <a:pPr/>
                      <a:t>[CELLEOMRÅDE]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CD1-467C-A189-98E5F5CF86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7E3CCF-93F4-4ED6-830D-2BF9D49E1A41}" type="CELLRANGE">
                      <a:rPr lang="en-GB"/>
                      <a:pPr/>
                      <a:t>[CELLEOMRÅDE]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CD1-467C-A189-98E5F5CF86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'Ark1'!$H$10:$H$14</c:f>
              <c:numCache>
                <c:formatCode>0.00%</c:formatCode>
                <c:ptCount val="5"/>
                <c:pt idx="0">
                  <c:v>0.80220000000000002</c:v>
                </c:pt>
                <c:pt idx="1">
                  <c:v>0.81610000000000005</c:v>
                </c:pt>
                <c:pt idx="2">
                  <c:v>0.79579999999999995</c:v>
                </c:pt>
                <c:pt idx="3">
                  <c:v>0.79400000000000004</c:v>
                </c:pt>
                <c:pt idx="4">
                  <c:v>0.8085</c:v>
                </c:pt>
              </c:numCache>
            </c:numRef>
          </c:xVal>
          <c:yVal>
            <c:numRef>
              <c:f>'Ark1'!$G$10:$G$14</c:f>
              <c:numCache>
                <c:formatCode>0</c:formatCode>
                <c:ptCount val="5"/>
                <c:pt idx="0">
                  <c:v>96.457999999999998</c:v>
                </c:pt>
                <c:pt idx="1">
                  <c:v>94.275999999999996</c:v>
                </c:pt>
                <c:pt idx="2">
                  <c:v>78.161000000000001</c:v>
                </c:pt>
                <c:pt idx="3">
                  <c:v>302.041</c:v>
                </c:pt>
                <c:pt idx="4">
                  <c:v>399.93700000000001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'Ark1'!$D$10:$D$14</c15:f>
                <c15:dlblRangeCache>
                  <c:ptCount val="5"/>
                  <c:pt idx="0">
                    <c:v>ministral-3:8b</c:v>
                  </c:pt>
                  <c:pt idx="1">
                    <c:v>gemma3:12b</c:v>
                  </c:pt>
                  <c:pt idx="2">
                    <c:v>ministral-3:14b</c:v>
                  </c:pt>
                  <c:pt idx="3">
                    <c:v>qwen3-vl:32b</c:v>
                  </c:pt>
                  <c:pt idx="4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CD1-467C-A189-98E5F5CF86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48602783"/>
        <c:axId val="1848619583"/>
      </c:scatterChart>
      <c:valAx>
        <c:axId val="184860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Average BERTScore Percentage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619583"/>
        <c:crosses val="autoZero"/>
        <c:crossBetween val="midCat"/>
      </c:valAx>
      <c:valAx>
        <c:axId val="184861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Time Per Report (sec)</a:t>
                </a:r>
                <a:endParaRPr lang="en-GB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60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CTISum</a:t>
            </a:r>
            <a:r>
              <a:rPr lang="en-GB" baseline="0"/>
              <a:t> Summarization Report ROUGE1 Test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F2AA8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1A5-469E-9FAB-484251939BEB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47D45A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1A5-469E-9FAB-484251939BEB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F6C6AD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1A5-469E-9FAB-484251939BEB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4E95D9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1A5-469E-9FAB-484251939BEB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D86EC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1A5-469E-9FAB-484251939BEB}"/>
              </c:ext>
            </c:extLst>
          </c:dPt>
          <c:dLbls>
            <c:dLbl>
              <c:idx val="0"/>
              <c:layout>
                <c:manualLayout>
                  <c:x val="-0.11384748521495719"/>
                  <c:y val="-9.3653444219852722E-2"/>
                </c:manualLayout>
              </c:layout>
              <c:tx>
                <c:rich>
                  <a:bodyPr/>
                  <a:lstStyle/>
                  <a:p>
                    <a:fld id="{6D1333DC-AFE5-40AE-8E71-D5FB04112567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1A5-469E-9FAB-484251939BE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F318B14-160C-45E9-A714-6BA1AC872E88}" type="CELLRANGE">
                      <a:rPr lang="en-GB"/>
                      <a:pPr/>
                      <a:t>[CELLEOMRÅDE]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1A5-469E-9FAB-484251939BEB}"/>
                </c:ext>
              </c:extLst>
            </c:dLbl>
            <c:dLbl>
              <c:idx val="2"/>
              <c:layout>
                <c:manualLayout>
                  <c:x val="-9.8056153483271735E-2"/>
                  <c:y val="5.5134229131454889E-2"/>
                </c:manualLayout>
              </c:layout>
              <c:tx>
                <c:rich>
                  <a:bodyPr/>
                  <a:lstStyle/>
                  <a:p>
                    <a:fld id="{A0317CD7-3032-4592-A2E2-865AABBFAE88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1A5-469E-9FAB-484251939BE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E55EB4-44DA-483B-9FAF-9A2D35BE7849}" type="CELLRANGE">
                      <a:rPr lang="en-GB"/>
                      <a:pPr/>
                      <a:t>[CELLEOMRÅDE]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1A5-469E-9FAB-484251939BE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E87EB61-5940-4016-8D24-F07AF78DD666}" type="CELLRANGE">
                      <a:rPr lang="en-GB"/>
                      <a:pPr/>
                      <a:t>[CELLEOMRÅDE]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1A5-469E-9FAB-484251939B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'Ark1'!$I$10:$I$14</c:f>
              <c:numCache>
                <c:formatCode>0.00%</c:formatCode>
                <c:ptCount val="5"/>
                <c:pt idx="0">
                  <c:v>0.26229999999999998</c:v>
                </c:pt>
                <c:pt idx="1">
                  <c:v>0.29220000000000002</c:v>
                </c:pt>
                <c:pt idx="2">
                  <c:v>0.26619999999999999</c:v>
                </c:pt>
                <c:pt idx="3">
                  <c:v>0.2331</c:v>
                </c:pt>
                <c:pt idx="4">
                  <c:v>0.2787</c:v>
                </c:pt>
              </c:numCache>
            </c:numRef>
          </c:xVal>
          <c:yVal>
            <c:numRef>
              <c:f>'Ark1'!$G$10:$G$14</c:f>
              <c:numCache>
                <c:formatCode>0</c:formatCode>
                <c:ptCount val="5"/>
                <c:pt idx="0">
                  <c:v>96.457999999999998</c:v>
                </c:pt>
                <c:pt idx="1">
                  <c:v>94.275999999999996</c:v>
                </c:pt>
                <c:pt idx="2">
                  <c:v>78.161000000000001</c:v>
                </c:pt>
                <c:pt idx="3">
                  <c:v>302.041</c:v>
                </c:pt>
                <c:pt idx="4">
                  <c:v>399.93700000000001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'Ark1'!$D$10:$D$14</c15:f>
                <c15:dlblRangeCache>
                  <c:ptCount val="5"/>
                  <c:pt idx="0">
                    <c:v>ministral-3:8b</c:v>
                  </c:pt>
                  <c:pt idx="1">
                    <c:v>gemma3:12b</c:v>
                  </c:pt>
                  <c:pt idx="2">
                    <c:v>ministral-3:14b</c:v>
                  </c:pt>
                  <c:pt idx="3">
                    <c:v>qwen3-vl:32b</c:v>
                  </c:pt>
                  <c:pt idx="4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1A5-469E-9FAB-484251939BE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5151551"/>
        <c:axId val="175144831"/>
      </c:scatterChart>
      <c:valAx>
        <c:axId val="17515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BERTScore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44831"/>
        <c:crosses val="autoZero"/>
        <c:crossBetween val="midCat"/>
      </c:valAx>
      <c:valAx>
        <c:axId val="17514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Time Per Report (sec)</a:t>
                </a:r>
                <a:endParaRPr lang="en-GB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CTISum Summarization Report ROUGE2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F2AA8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EDD-4449-B7F0-12E1B640D04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47D45A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EDD-4449-B7F0-12E1B640D04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F6C6AD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EDD-4449-B7F0-12E1B640D04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4E95D9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EDD-4449-B7F0-12E1B640D04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D86EC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EDD-4449-B7F0-12E1B640D049}"/>
              </c:ext>
            </c:extLst>
          </c:dPt>
          <c:dLbls>
            <c:dLbl>
              <c:idx val="0"/>
              <c:layout>
                <c:manualLayout>
                  <c:x val="-0.11686811626357055"/>
                  <c:y val="-0.11160553307693716"/>
                </c:manualLayout>
              </c:layout>
              <c:tx>
                <c:rich>
                  <a:bodyPr/>
                  <a:lstStyle/>
                  <a:p>
                    <a:fld id="{5576AF57-A9F7-4D85-868A-44A011CEE1AE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EDD-4449-B7F0-12E1B640D049}"/>
                </c:ext>
              </c:extLst>
            </c:dLbl>
            <c:dLbl>
              <c:idx val="1"/>
              <c:layout>
                <c:manualLayout>
                  <c:x val="-6.3293548751052989E-2"/>
                  <c:y val="-7.2501909597540187E-2"/>
                </c:manualLayout>
              </c:layout>
              <c:tx>
                <c:rich>
                  <a:bodyPr/>
                  <a:lstStyle/>
                  <a:p>
                    <a:fld id="{E26AFA47-3AF5-4B47-891E-30F807F0ABAC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EDD-4449-B7F0-12E1B640D049}"/>
                </c:ext>
              </c:extLst>
            </c:dLbl>
            <c:dLbl>
              <c:idx val="2"/>
              <c:layout>
                <c:manualLayout>
                  <c:x val="-0.16873655860017706"/>
                  <c:y val="-5.19548684175972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C7633DB-4ED5-4C9F-98E5-B95D52900163}" type="CELLRANGE">
                      <a:rPr lang="en-US"/>
                      <a:pPr>
                        <a:defRPr sz="1200"/>
                      </a:pPr>
                      <a:t>[CELLEOMRÅDE]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43265196785209"/>
                      <c:h val="4.277932359714511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EDD-4449-B7F0-12E1B640D049}"/>
                </c:ext>
              </c:extLst>
            </c:dLbl>
            <c:dLbl>
              <c:idx val="3"/>
              <c:layout>
                <c:manualLayout>
                  <c:x val="-5.4502778091184485E-2"/>
                  <c:y val="-7.2501909597540187E-2"/>
                </c:manualLayout>
              </c:layout>
              <c:tx>
                <c:rich>
                  <a:bodyPr/>
                  <a:lstStyle/>
                  <a:p>
                    <a:fld id="{C0F15EB9-0733-4C40-9A66-45B421F8F135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EDD-4449-B7F0-12E1B640D049}"/>
                </c:ext>
              </c:extLst>
            </c:dLbl>
            <c:dLbl>
              <c:idx val="4"/>
              <c:layout>
                <c:manualLayout>
                  <c:x val="-6.5051702883026752E-2"/>
                  <c:y val="-6.0901604061933755E-2"/>
                </c:manualLayout>
              </c:layout>
              <c:tx>
                <c:rich>
                  <a:bodyPr/>
                  <a:lstStyle/>
                  <a:p>
                    <a:fld id="{7935FCB8-4FB7-4D53-B6EB-9F6D6B560166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EDD-4449-B7F0-12E1B640D0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'Ark1'!$J$10:$J$14</c:f>
              <c:numCache>
                <c:formatCode>0.00%</c:formatCode>
                <c:ptCount val="5"/>
                <c:pt idx="0">
                  <c:v>4.7199999999999999E-2</c:v>
                </c:pt>
                <c:pt idx="1">
                  <c:v>5.74E-2</c:v>
                </c:pt>
                <c:pt idx="2">
                  <c:v>4.1099999999999998E-2</c:v>
                </c:pt>
                <c:pt idx="3">
                  <c:v>1.7899999999999999E-2</c:v>
                </c:pt>
                <c:pt idx="4">
                  <c:v>3.5700000000000003E-2</c:v>
                </c:pt>
              </c:numCache>
            </c:numRef>
          </c:xVal>
          <c:yVal>
            <c:numRef>
              <c:f>'Ark1'!$G$10:$G$14</c:f>
              <c:numCache>
                <c:formatCode>0</c:formatCode>
                <c:ptCount val="5"/>
                <c:pt idx="0">
                  <c:v>96.457999999999998</c:v>
                </c:pt>
                <c:pt idx="1">
                  <c:v>94.275999999999996</c:v>
                </c:pt>
                <c:pt idx="2">
                  <c:v>78.161000000000001</c:v>
                </c:pt>
                <c:pt idx="3">
                  <c:v>302.041</c:v>
                </c:pt>
                <c:pt idx="4">
                  <c:v>399.93700000000001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'Ark1'!$D$10:$D$14</c15:f>
                <c15:dlblRangeCache>
                  <c:ptCount val="5"/>
                  <c:pt idx="0">
                    <c:v>ministral-3:8b</c:v>
                  </c:pt>
                  <c:pt idx="1">
                    <c:v>gemma3:12b</c:v>
                  </c:pt>
                  <c:pt idx="2">
                    <c:v>ministral-3:14b</c:v>
                  </c:pt>
                  <c:pt idx="3">
                    <c:v>qwen3-vl:32b</c:v>
                  </c:pt>
                  <c:pt idx="4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D1A-49E5-9BCF-18C294FA9AE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5175551"/>
        <c:axId val="175188031"/>
      </c:scatterChart>
      <c:valAx>
        <c:axId val="17517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BERTScore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8031"/>
        <c:crosses val="autoZero"/>
        <c:crossBetween val="midCat"/>
      </c:valAx>
      <c:valAx>
        <c:axId val="1751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Time Per Report (sec)</a:t>
                </a:r>
                <a:endParaRPr lang="en-GB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CTISum Summarization Report ROUGEL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F2AA8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39B-4ADA-9D00-40223D6C402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47D45A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9B-4ADA-9D00-40223D6C402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F6C6AD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39B-4ADA-9D00-40223D6C402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4E95D9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39B-4ADA-9D00-40223D6C4024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190500">
                  <a:solidFill>
                    <a:srgbClr val="D86EC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39B-4ADA-9D00-40223D6C4024}"/>
              </c:ext>
            </c:extLst>
          </c:dPt>
          <c:dLbls>
            <c:dLbl>
              <c:idx val="0"/>
              <c:layout>
                <c:manualLayout>
                  <c:x val="1.733985226793534E-3"/>
                  <c:y val="-4.9919206459669963E-2"/>
                </c:manualLayout>
              </c:layout>
              <c:tx>
                <c:rich>
                  <a:bodyPr/>
                  <a:lstStyle/>
                  <a:p>
                    <a:fld id="{30CD653F-F828-499B-9B5F-9CDB4BE5182F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39B-4ADA-9D00-40223D6C4024}"/>
                </c:ext>
              </c:extLst>
            </c:dLbl>
            <c:dLbl>
              <c:idx val="1"/>
              <c:layout>
                <c:manualLayout>
                  <c:x val="-0.12622876465648492"/>
                  <c:y val="-5.8999542408267158E-2"/>
                </c:manualLayout>
              </c:layout>
              <c:tx>
                <c:rich>
                  <a:bodyPr/>
                  <a:lstStyle/>
                  <a:p>
                    <a:fld id="{C80C033B-A62F-42AF-8996-25EFFDDE6A42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39B-4ADA-9D00-40223D6C4024}"/>
                </c:ext>
              </c:extLst>
            </c:dLbl>
            <c:dLbl>
              <c:idx val="2"/>
              <c:layout>
                <c:manualLayout>
                  <c:x val="-0.19240727783036582"/>
                  <c:y val="2.4755740558463735E-2"/>
                </c:manualLayout>
              </c:layout>
              <c:tx>
                <c:rich>
                  <a:bodyPr/>
                  <a:lstStyle/>
                  <a:p>
                    <a:fld id="{D947AF34-7B6F-47D3-A27F-67A3928DCADB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39B-4ADA-9D00-40223D6C4024}"/>
                </c:ext>
              </c:extLst>
            </c:dLbl>
            <c:dLbl>
              <c:idx val="3"/>
              <c:layout>
                <c:manualLayout>
                  <c:x val="-6.1765403178621843E-2"/>
                  <c:y val="-6.4975114951120183E-2"/>
                </c:manualLayout>
              </c:layout>
              <c:tx>
                <c:rich>
                  <a:bodyPr/>
                  <a:lstStyle/>
                  <a:p>
                    <a:fld id="{B50CC050-6129-4F5A-B280-8EBB701D8DA5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39B-4ADA-9D00-40223D6C4024}"/>
                </c:ext>
              </c:extLst>
            </c:dLbl>
            <c:dLbl>
              <c:idx val="4"/>
              <c:layout>
                <c:manualLayout>
                  <c:x val="-5.1640388406389723E-2"/>
                  <c:y val="-6.1951964761970978E-2"/>
                </c:manualLayout>
              </c:layout>
              <c:tx>
                <c:rich>
                  <a:bodyPr/>
                  <a:lstStyle/>
                  <a:p>
                    <a:fld id="{2C04DD40-E315-4A6D-BFA5-754CD0F24682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39B-4ADA-9D00-40223D6C40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'Ark1'!$K$10:$K$14</c:f>
              <c:numCache>
                <c:formatCode>0.00%</c:formatCode>
                <c:ptCount val="5"/>
                <c:pt idx="0">
                  <c:v>0.13450000000000001</c:v>
                </c:pt>
                <c:pt idx="1">
                  <c:v>0.13120000000000001</c:v>
                </c:pt>
                <c:pt idx="2">
                  <c:v>0.1298</c:v>
                </c:pt>
                <c:pt idx="3">
                  <c:v>0.11020000000000001</c:v>
                </c:pt>
                <c:pt idx="4">
                  <c:v>0.1489</c:v>
                </c:pt>
              </c:numCache>
            </c:numRef>
          </c:xVal>
          <c:yVal>
            <c:numRef>
              <c:f>'Ark1'!$G$10:$G$14</c:f>
              <c:numCache>
                <c:formatCode>0</c:formatCode>
                <c:ptCount val="5"/>
                <c:pt idx="0">
                  <c:v>96.457999999999998</c:v>
                </c:pt>
                <c:pt idx="1">
                  <c:v>94.275999999999996</c:v>
                </c:pt>
                <c:pt idx="2">
                  <c:v>78.161000000000001</c:v>
                </c:pt>
                <c:pt idx="3">
                  <c:v>302.041</c:v>
                </c:pt>
                <c:pt idx="4">
                  <c:v>399.93700000000001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'Ark1'!$D$10:$D$14</c15:f>
                <c15:dlblRangeCache>
                  <c:ptCount val="5"/>
                  <c:pt idx="0">
                    <c:v>ministral-3:8b</c:v>
                  </c:pt>
                  <c:pt idx="1">
                    <c:v>gemma3:12b</c:v>
                  </c:pt>
                  <c:pt idx="2">
                    <c:v>ministral-3:14b</c:v>
                  </c:pt>
                  <c:pt idx="3">
                    <c:v>qwen3-vl:32b</c:v>
                  </c:pt>
                  <c:pt idx="4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D89-49E5-B0FD-C718024873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16298703"/>
        <c:axId val="1516301583"/>
      </c:scatterChart>
      <c:valAx>
        <c:axId val="151629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BERTScore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01583"/>
        <c:crosses val="autoZero"/>
        <c:crossBetween val="midCat"/>
      </c:valAx>
      <c:valAx>
        <c:axId val="151630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Time Per Report (sec)</a:t>
                </a:r>
                <a:endParaRPr lang="en-GB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29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CTISum</a:t>
            </a:r>
            <a:r>
              <a:rPr lang="en-GB" sz="2000" baseline="0"/>
              <a:t> Summarization Report BERTScore Test Results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172534605889458"/>
                  <c:y val="-0.11228407679239973"/>
                </c:manualLayout>
              </c:layout>
              <c:tx>
                <c:rich>
                  <a:bodyPr/>
                  <a:lstStyle/>
                  <a:p>
                    <a:fld id="{217D580C-EE68-4ECE-89F3-75F88D9624F4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52C-460F-BE3C-3147212752EA}"/>
                </c:ext>
              </c:extLst>
            </c:dLbl>
            <c:dLbl>
              <c:idx val="1"/>
              <c:layout>
                <c:manualLayout>
                  <c:x val="-5.1589433975550533E-2"/>
                  <c:y val="-9.1320200687256811E-2"/>
                </c:manualLayout>
              </c:layout>
              <c:tx>
                <c:rich>
                  <a:bodyPr/>
                  <a:lstStyle/>
                  <a:p>
                    <a:fld id="{1C68B88F-9709-4EB1-9E70-87D85A4561AD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52C-460F-BE3C-3147212752EA}"/>
                </c:ext>
              </c:extLst>
            </c:dLbl>
            <c:dLbl>
              <c:idx val="2"/>
              <c:layout>
                <c:manualLayout>
                  <c:x val="-0.17550308638776571"/>
                  <c:y val="-4.6397609033379021E-2"/>
                </c:manualLayout>
              </c:layout>
              <c:tx>
                <c:rich>
                  <a:bodyPr/>
                  <a:lstStyle/>
                  <a:p>
                    <a:fld id="{CD5FA20C-8341-4734-88A4-FEAC9C888B6F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52C-460F-BE3C-3147212752EA}"/>
                </c:ext>
              </c:extLst>
            </c:dLbl>
            <c:dLbl>
              <c:idx val="3"/>
              <c:layout>
                <c:manualLayout>
                  <c:x val="-0.10915586488920337"/>
                  <c:y val="-5.8376966807746455E-2"/>
                </c:manualLayout>
              </c:layout>
              <c:tx>
                <c:rich>
                  <a:bodyPr/>
                  <a:lstStyle/>
                  <a:p>
                    <a:fld id="{760344F0-61E4-4F3B-B22B-39C93E1D332F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52C-460F-BE3C-3147212752EA}"/>
                </c:ext>
              </c:extLst>
            </c:dLbl>
            <c:dLbl>
              <c:idx val="4"/>
              <c:layout>
                <c:manualLayout>
                  <c:x val="-0.15576437343538618"/>
                  <c:y val="-5.83769668077464E-2"/>
                </c:manualLayout>
              </c:layout>
              <c:tx>
                <c:rich>
                  <a:bodyPr/>
                  <a:lstStyle/>
                  <a:p>
                    <a:fld id="{659BC859-31EE-443D-86E5-C0F065444CFA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52C-460F-BE3C-3147212752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'Ark1'!$L$19:$L$23</c:f>
                <c:numCache>
                  <c:formatCode>General</c:formatCode>
                  <c:ptCount val="5"/>
                  <c:pt idx="0">
                    <c:v>3.9170567181664711E-3</c:v>
                  </c:pt>
                  <c:pt idx="1">
                    <c:v>1.5524174696259995E-3</c:v>
                  </c:pt>
                  <c:pt idx="2">
                    <c:v>2.107921567168341E-3</c:v>
                  </c:pt>
                  <c:pt idx="3">
                    <c:v>1.7320508075688787E-3</c:v>
                  </c:pt>
                  <c:pt idx="4">
                    <c:v>3.4073450074801454E-3</c:v>
                  </c:pt>
                </c:numCache>
              </c:numRef>
            </c:plus>
            <c:minus>
              <c:numRef>
                <c:f>'Ark1'!$L$19:$L$23</c:f>
                <c:numCache>
                  <c:formatCode>General</c:formatCode>
                  <c:ptCount val="5"/>
                  <c:pt idx="0">
                    <c:v>3.9170567181664711E-3</c:v>
                  </c:pt>
                  <c:pt idx="1">
                    <c:v>1.5524174696259995E-3</c:v>
                  </c:pt>
                  <c:pt idx="2">
                    <c:v>2.107921567168341E-3</c:v>
                  </c:pt>
                  <c:pt idx="3">
                    <c:v>1.7320508075688787E-3</c:v>
                  </c:pt>
                  <c:pt idx="4">
                    <c:v>3.4073450074801454E-3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'Ark1'!$M$19:$M$23</c:f>
                <c:numCache>
                  <c:formatCode>General</c:formatCode>
                  <c:ptCount val="5"/>
                  <c:pt idx="0">
                    <c:v>23.379832933534828</c:v>
                  </c:pt>
                  <c:pt idx="1">
                    <c:v>2.5033428317618291</c:v>
                  </c:pt>
                  <c:pt idx="2">
                    <c:v>2.7370861026524791</c:v>
                  </c:pt>
                  <c:pt idx="3">
                    <c:v>7.5292248605019072</c:v>
                  </c:pt>
                  <c:pt idx="4">
                    <c:v>45.585267974789588</c:v>
                  </c:pt>
                </c:numCache>
              </c:numRef>
            </c:plus>
            <c:minus>
              <c:numRef>
                <c:f>'Ark1'!$M$19:$M$23</c:f>
                <c:numCache>
                  <c:formatCode>General</c:formatCode>
                  <c:ptCount val="5"/>
                  <c:pt idx="0">
                    <c:v>23.379832933534828</c:v>
                  </c:pt>
                  <c:pt idx="1">
                    <c:v>2.5033428317618291</c:v>
                  </c:pt>
                  <c:pt idx="2">
                    <c:v>2.7370861026524791</c:v>
                  </c:pt>
                  <c:pt idx="3">
                    <c:v>7.5292248605019072</c:v>
                  </c:pt>
                  <c:pt idx="4">
                    <c:v>45.585267974789588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'Ark1'!$H$28:$H$32</c:f>
              <c:numCache>
                <c:formatCode>0.00%</c:formatCode>
                <c:ptCount val="5"/>
                <c:pt idx="0">
                  <c:v>0.80646666666666667</c:v>
                </c:pt>
                <c:pt idx="1">
                  <c:v>0.81599999999999995</c:v>
                </c:pt>
                <c:pt idx="2">
                  <c:v>0.7969666666666666</c:v>
                </c:pt>
                <c:pt idx="3">
                  <c:v>0.79600000000000015</c:v>
                </c:pt>
                <c:pt idx="4">
                  <c:v>0.80700000000000005</c:v>
                </c:pt>
              </c:numCache>
            </c:numRef>
          </c:xVal>
          <c:yVal>
            <c:numRef>
              <c:f>'Ark1'!$G$28:$G$32</c:f>
              <c:numCache>
                <c:formatCode>0</c:formatCode>
                <c:ptCount val="5"/>
                <c:pt idx="0">
                  <c:v>69.486000000000004</c:v>
                </c:pt>
                <c:pt idx="1">
                  <c:v>94.425333333333342</c:v>
                </c:pt>
                <c:pt idx="2">
                  <c:v>75.053666666666672</c:v>
                </c:pt>
                <c:pt idx="3">
                  <c:v>293.34699999999998</c:v>
                </c:pt>
                <c:pt idx="4">
                  <c:v>347.3123333333333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'Ark1'!$D$28:$D$32</c15:f>
                <c15:dlblRangeCache>
                  <c:ptCount val="5"/>
                  <c:pt idx="0">
                    <c:v>ministral-3:8b</c:v>
                  </c:pt>
                  <c:pt idx="1">
                    <c:v>gemma3:12b</c:v>
                  </c:pt>
                  <c:pt idx="2">
                    <c:v>ministral-3:14b</c:v>
                  </c:pt>
                  <c:pt idx="3">
                    <c:v>qwen3-vl:32b</c:v>
                  </c:pt>
                  <c:pt idx="4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52C-460F-BE3C-3147212752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86595840"/>
        <c:axId val="686597280"/>
      </c:scatterChart>
      <c:valAx>
        <c:axId val="686595840"/>
        <c:scaling>
          <c:orientation val="minMax"/>
          <c:max val="0.83000000000000007"/>
          <c:min val="0.76000000000000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</a:t>
                </a:r>
                <a:r>
                  <a:rPr lang="en-GB" sz="1600" baseline="0"/>
                  <a:t> BERTScore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597280"/>
        <c:crosses val="autoZero"/>
        <c:crossBetween val="midCat"/>
      </c:valAx>
      <c:valAx>
        <c:axId val="686597280"/>
        <c:scaling>
          <c:orientation val="minMax"/>
          <c:max val="5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Time</a:t>
                </a:r>
                <a:r>
                  <a:rPr lang="en-GB" sz="1600" baseline="0"/>
                  <a:t> Per Report (seconds)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59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CTISum Summarization Report ROUGE1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4722335931197097E-2"/>
                  <c:y val="-0.12576371302667541"/>
                </c:manualLayout>
              </c:layout>
              <c:tx>
                <c:rich>
                  <a:bodyPr/>
                  <a:lstStyle/>
                  <a:p>
                    <a:fld id="{B5657C83-5A66-4555-AF76-C3EA162C9795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595-486C-84E2-78BD14EE93C2}"/>
                </c:ext>
              </c:extLst>
            </c:dLbl>
            <c:dLbl>
              <c:idx val="1"/>
              <c:layout>
                <c:manualLayout>
                  <c:x val="-6.58427689703001E-2"/>
                  <c:y val="-6.538508674343152E-2"/>
                </c:manualLayout>
              </c:layout>
              <c:tx>
                <c:rich>
                  <a:bodyPr/>
                  <a:lstStyle/>
                  <a:p>
                    <a:fld id="{613EF02B-E908-42E7-991E-1BA797B6E793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595-486C-84E2-78BD14EE93C2}"/>
                </c:ext>
              </c:extLst>
            </c:dLbl>
            <c:dLbl>
              <c:idx val="2"/>
              <c:layout>
                <c:manualLayout>
                  <c:x val="-0.12585588414137366"/>
                  <c:y val="-8.2156927377666056E-2"/>
                </c:manualLayout>
              </c:layout>
              <c:tx>
                <c:rich>
                  <a:bodyPr/>
                  <a:lstStyle/>
                  <a:p>
                    <a:fld id="{E3DD5BE7-CD05-4BF3-A5B9-5FADFD9DA4C4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595-486C-84E2-78BD14EE93C2}"/>
                </c:ext>
              </c:extLst>
            </c:dLbl>
            <c:dLbl>
              <c:idx val="3"/>
              <c:layout>
                <c:manualLayout>
                  <c:x val="-9.7999419753037359E-2"/>
                  <c:y val="-9.8928768011900384E-2"/>
                </c:manualLayout>
              </c:layout>
              <c:tx>
                <c:rich>
                  <a:bodyPr/>
                  <a:lstStyle/>
                  <a:p>
                    <a:fld id="{7EBA4217-61F1-4B87-A913-1D77E12050F1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595-486C-84E2-78BD14EE93C2}"/>
                </c:ext>
              </c:extLst>
            </c:dLbl>
            <c:dLbl>
              <c:idx val="4"/>
              <c:layout>
                <c:manualLayout>
                  <c:x val="-0.15422694015110266"/>
                  <c:y val="-4.5258877982350211E-2"/>
                </c:manualLayout>
              </c:layout>
              <c:tx>
                <c:rich>
                  <a:bodyPr/>
                  <a:lstStyle/>
                  <a:p>
                    <a:fld id="{19725BBE-87C3-45A9-90EB-CD83625745E3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595-486C-84E2-78BD14EE93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'Ark1'!$N$19:$N$23</c:f>
                <c:numCache>
                  <c:formatCode>General</c:formatCode>
                  <c:ptCount val="5"/>
                  <c:pt idx="0">
                    <c:v>1.0756083549942034E-2</c:v>
                  </c:pt>
                  <c:pt idx="1">
                    <c:v>1.0107587908761088E-2</c:v>
                  </c:pt>
                  <c:pt idx="2">
                    <c:v>5.3528808443055647E-3</c:v>
                  </c:pt>
                  <c:pt idx="3">
                    <c:v>2.4248711305964337E-3</c:v>
                  </c:pt>
                  <c:pt idx="4">
                    <c:v>1.0050373127401792E-2</c:v>
                  </c:pt>
                </c:numCache>
              </c:numRef>
            </c:plus>
            <c:minus>
              <c:numRef>
                <c:f>'Ark1'!$N$19:$N$23</c:f>
                <c:numCache>
                  <c:formatCode>General</c:formatCode>
                  <c:ptCount val="5"/>
                  <c:pt idx="0">
                    <c:v>1.0756083549942034E-2</c:v>
                  </c:pt>
                  <c:pt idx="1">
                    <c:v>1.0107587908761088E-2</c:v>
                  </c:pt>
                  <c:pt idx="2">
                    <c:v>5.3528808443055647E-3</c:v>
                  </c:pt>
                  <c:pt idx="3">
                    <c:v>2.4248711305964337E-3</c:v>
                  </c:pt>
                  <c:pt idx="4">
                    <c:v>1.0050373127401792E-2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'Ark1'!$M$19:$M$23</c:f>
                <c:numCache>
                  <c:formatCode>General</c:formatCode>
                  <c:ptCount val="5"/>
                  <c:pt idx="0">
                    <c:v>23.379832933534828</c:v>
                  </c:pt>
                  <c:pt idx="1">
                    <c:v>2.5033428317618291</c:v>
                  </c:pt>
                  <c:pt idx="2">
                    <c:v>2.7370861026524791</c:v>
                  </c:pt>
                  <c:pt idx="3">
                    <c:v>7.5292248605019072</c:v>
                  </c:pt>
                  <c:pt idx="4">
                    <c:v>45.585267974789588</c:v>
                  </c:pt>
                </c:numCache>
              </c:numRef>
            </c:plus>
            <c:minus>
              <c:numRef>
                <c:f>'Ark1'!$M$19:$M$23</c:f>
                <c:numCache>
                  <c:formatCode>General</c:formatCode>
                  <c:ptCount val="5"/>
                  <c:pt idx="0">
                    <c:v>23.379832933534828</c:v>
                  </c:pt>
                  <c:pt idx="1">
                    <c:v>2.5033428317618291</c:v>
                  </c:pt>
                  <c:pt idx="2">
                    <c:v>2.7370861026524791</c:v>
                  </c:pt>
                  <c:pt idx="3">
                    <c:v>7.5292248605019072</c:v>
                  </c:pt>
                  <c:pt idx="4">
                    <c:v>45.585267974789588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'Ark1'!$I$28:$I$32</c:f>
              <c:numCache>
                <c:formatCode>0.00%</c:formatCode>
                <c:ptCount val="5"/>
                <c:pt idx="0">
                  <c:v>0.2723666666666667</c:v>
                </c:pt>
                <c:pt idx="1">
                  <c:v>0.29933333333333328</c:v>
                </c:pt>
                <c:pt idx="2">
                  <c:v>0.26473333333333332</c:v>
                </c:pt>
                <c:pt idx="3">
                  <c:v>0.2359</c:v>
                </c:pt>
                <c:pt idx="4">
                  <c:v>0.27879999999999999</c:v>
                </c:pt>
              </c:numCache>
            </c:numRef>
          </c:xVal>
          <c:yVal>
            <c:numRef>
              <c:f>'Ark1'!$G$28:$G$32</c:f>
              <c:numCache>
                <c:formatCode>0</c:formatCode>
                <c:ptCount val="5"/>
                <c:pt idx="0">
                  <c:v>69.486000000000004</c:v>
                </c:pt>
                <c:pt idx="1">
                  <c:v>94.425333333333342</c:v>
                </c:pt>
                <c:pt idx="2">
                  <c:v>75.053666666666672</c:v>
                </c:pt>
                <c:pt idx="3">
                  <c:v>293.34699999999998</c:v>
                </c:pt>
                <c:pt idx="4">
                  <c:v>347.3123333333333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'Ark1'!$D$28:$D$32</c15:f>
                <c15:dlblRangeCache>
                  <c:ptCount val="5"/>
                  <c:pt idx="0">
                    <c:v>ministral-3:8b</c:v>
                  </c:pt>
                  <c:pt idx="1">
                    <c:v>gemma3:12b</c:v>
                  </c:pt>
                  <c:pt idx="2">
                    <c:v>ministral-3:14b</c:v>
                  </c:pt>
                  <c:pt idx="3">
                    <c:v>qwen3-vl:32b</c:v>
                  </c:pt>
                  <c:pt idx="4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595-486C-84E2-78BD14EE93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1857728"/>
        <c:axId val="611869248"/>
      </c:scatterChart>
      <c:valAx>
        <c:axId val="611857728"/>
        <c:scaling>
          <c:orientation val="minMax"/>
          <c:min val="0.22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ROUGE1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69248"/>
        <c:crosses val="autoZero"/>
        <c:crossBetween val="midCat"/>
      </c:valAx>
      <c:valAx>
        <c:axId val="611869248"/>
        <c:scaling>
          <c:orientation val="minMax"/>
          <c:max val="42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</a:t>
                </a:r>
                <a:r>
                  <a:rPr lang="en-GB" sz="1600" baseline="0"/>
                  <a:t> Time Per Report (seconds)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5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CTISum Summarization Report ROUGE2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4547349576228555E-2"/>
                  <c:y val="-0.1093660203910585"/>
                </c:manualLayout>
              </c:layout>
              <c:tx>
                <c:rich>
                  <a:bodyPr/>
                  <a:lstStyle/>
                  <a:p>
                    <a:fld id="{8417F668-63DD-45F9-AB29-4D3B5E2A0308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AFA-43FA-B5DE-D45848D8B50C}"/>
                </c:ext>
              </c:extLst>
            </c:dLbl>
            <c:dLbl>
              <c:idx val="1"/>
              <c:layout>
                <c:manualLayout>
                  <c:x val="-6.3480969770814466E-2"/>
                  <c:y val="-7.661415987311869E-2"/>
                </c:manualLayout>
              </c:layout>
              <c:tx>
                <c:rich>
                  <a:bodyPr/>
                  <a:lstStyle/>
                  <a:p>
                    <a:fld id="{F897B5BC-F7DD-40E3-958A-339304DF35B9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AFA-43FA-B5DE-D45848D8B50C}"/>
                </c:ext>
              </c:extLst>
            </c:dLbl>
            <c:dLbl>
              <c:idx val="2"/>
              <c:layout>
                <c:manualLayout>
                  <c:x val="-0.11557586231840922"/>
                  <c:y val="-6.6536664329137449E-2"/>
                </c:manualLayout>
              </c:layout>
              <c:tx>
                <c:rich>
                  <a:bodyPr/>
                  <a:lstStyle/>
                  <a:p>
                    <a:fld id="{E5F61FCC-E755-435A-9A70-0150D7D38B3C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AFA-43FA-B5DE-D45848D8B50C}"/>
                </c:ext>
              </c:extLst>
            </c:dLbl>
            <c:dLbl>
              <c:idx val="3"/>
              <c:layout>
                <c:manualLayout>
                  <c:x val="-7.1410293443904843E-2"/>
                  <c:y val="-8.6691655417100194E-2"/>
                </c:manualLayout>
              </c:layout>
              <c:tx>
                <c:rich>
                  <a:bodyPr/>
                  <a:lstStyle/>
                  <a:p>
                    <a:fld id="{4A82877A-6953-4024-B918-675121672268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AFA-43FA-B5DE-D45848D8B50C}"/>
                </c:ext>
              </c:extLst>
            </c:dLbl>
            <c:dLbl>
              <c:idx val="4"/>
              <c:layout>
                <c:manualLayout>
                  <c:x val="-0.12479411783521455"/>
                  <c:y val="-6.1497916557146662E-2"/>
                </c:manualLayout>
              </c:layout>
              <c:tx>
                <c:rich>
                  <a:bodyPr/>
                  <a:lstStyle/>
                  <a:p>
                    <a:fld id="{D01D4A5D-604B-4B15-A722-BF1F1184A4F0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AFA-43FA-B5DE-D45848D8B5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'Ark1'!$O$19:$O$23</c:f>
                <c:numCache>
                  <c:formatCode>General</c:formatCode>
                  <c:ptCount val="5"/>
                  <c:pt idx="0">
                    <c:v>1.9467922333931793E-3</c:v>
                  </c:pt>
                  <c:pt idx="1">
                    <c:v>4.0595566260368888E-3</c:v>
                  </c:pt>
                  <c:pt idx="2">
                    <c:v>4.4992591982829077E-3</c:v>
                  </c:pt>
                  <c:pt idx="3">
                    <c:v>4.4455970727601199E-3</c:v>
                  </c:pt>
                  <c:pt idx="4">
                    <c:v>1.5716233645501716E-3</c:v>
                  </c:pt>
                </c:numCache>
              </c:numRef>
            </c:plus>
            <c:minus>
              <c:numRef>
                <c:f>'Ark1'!$O$19:$O$23</c:f>
                <c:numCache>
                  <c:formatCode>General</c:formatCode>
                  <c:ptCount val="5"/>
                  <c:pt idx="0">
                    <c:v>1.9467922333931793E-3</c:v>
                  </c:pt>
                  <c:pt idx="1">
                    <c:v>4.0595566260368888E-3</c:v>
                  </c:pt>
                  <c:pt idx="2">
                    <c:v>4.4992591982829077E-3</c:v>
                  </c:pt>
                  <c:pt idx="3">
                    <c:v>4.4455970727601199E-3</c:v>
                  </c:pt>
                  <c:pt idx="4">
                    <c:v>1.5716233645501716E-3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'Ark1'!$M$19:$M$23</c:f>
                <c:numCache>
                  <c:formatCode>General</c:formatCode>
                  <c:ptCount val="5"/>
                  <c:pt idx="0">
                    <c:v>23.379832933534828</c:v>
                  </c:pt>
                  <c:pt idx="1">
                    <c:v>2.5033428317618291</c:v>
                  </c:pt>
                  <c:pt idx="2">
                    <c:v>2.7370861026524791</c:v>
                  </c:pt>
                  <c:pt idx="3">
                    <c:v>7.5292248605019072</c:v>
                  </c:pt>
                  <c:pt idx="4">
                    <c:v>45.585267974789588</c:v>
                  </c:pt>
                </c:numCache>
              </c:numRef>
            </c:plus>
            <c:minus>
              <c:numRef>
                <c:f>'Ark1'!$M$19:$M$23</c:f>
                <c:numCache>
                  <c:formatCode>General</c:formatCode>
                  <c:ptCount val="5"/>
                  <c:pt idx="0">
                    <c:v>23.379832933534828</c:v>
                  </c:pt>
                  <c:pt idx="1">
                    <c:v>2.5033428317618291</c:v>
                  </c:pt>
                  <c:pt idx="2">
                    <c:v>2.7370861026524791</c:v>
                  </c:pt>
                  <c:pt idx="3">
                    <c:v>7.5292248605019072</c:v>
                  </c:pt>
                  <c:pt idx="4">
                    <c:v>45.585267974789588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'Ark1'!$J$28:$J$32</c:f>
              <c:numCache>
                <c:formatCode>0.00%</c:formatCode>
                <c:ptCount val="5"/>
                <c:pt idx="0">
                  <c:v>4.6500000000000007E-2</c:v>
                </c:pt>
                <c:pt idx="1">
                  <c:v>6.1800000000000001E-2</c:v>
                </c:pt>
                <c:pt idx="2">
                  <c:v>4.0333333333333332E-2</c:v>
                </c:pt>
                <c:pt idx="3">
                  <c:v>2.3033333333333333E-2</c:v>
                </c:pt>
                <c:pt idx="4">
                  <c:v>3.3900000000000007E-2</c:v>
                </c:pt>
              </c:numCache>
            </c:numRef>
          </c:xVal>
          <c:yVal>
            <c:numRef>
              <c:f>'Ark1'!$G$28:$G$32</c:f>
              <c:numCache>
                <c:formatCode>0</c:formatCode>
                <c:ptCount val="5"/>
                <c:pt idx="0">
                  <c:v>69.486000000000004</c:v>
                </c:pt>
                <c:pt idx="1">
                  <c:v>94.425333333333342</c:v>
                </c:pt>
                <c:pt idx="2">
                  <c:v>75.053666666666672</c:v>
                </c:pt>
                <c:pt idx="3">
                  <c:v>293.34699999999998</c:v>
                </c:pt>
                <c:pt idx="4">
                  <c:v>347.3123333333333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'Ark1'!$D$28:$D$32</c15:f>
                <c15:dlblRangeCache>
                  <c:ptCount val="5"/>
                  <c:pt idx="0">
                    <c:v>ministral-3:8b</c:v>
                  </c:pt>
                  <c:pt idx="1">
                    <c:v>gemma3:12b</c:v>
                  </c:pt>
                  <c:pt idx="2">
                    <c:v>ministral-3:14b</c:v>
                  </c:pt>
                  <c:pt idx="3">
                    <c:v>qwen3-vl:32b</c:v>
                  </c:pt>
                  <c:pt idx="4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AFA-43FA-B5DE-D45848D8B5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1951328"/>
        <c:axId val="611951808"/>
      </c:scatterChart>
      <c:valAx>
        <c:axId val="611951328"/>
        <c:scaling>
          <c:orientation val="minMax"/>
          <c:max val="6.7000000000000018E-2"/>
          <c:min val="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ROUGE2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51808"/>
        <c:crosses val="autoZero"/>
        <c:crossBetween val="midCat"/>
      </c:valAx>
      <c:valAx>
        <c:axId val="611951808"/>
        <c:scaling>
          <c:orientation val="minMax"/>
          <c:max val="43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Time Per Report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5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CTISum Summarization Report ROUGEL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282837415091162E-2"/>
                  <c:y val="-8.2677131755035854E-2"/>
                </c:manualLayout>
              </c:layout>
              <c:tx>
                <c:rich>
                  <a:bodyPr/>
                  <a:lstStyle/>
                  <a:p>
                    <a:fld id="{4017C15B-861D-483E-B4F8-16289FD732AE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46D-44C2-A332-4323304BDFF3}"/>
                </c:ext>
              </c:extLst>
            </c:dLbl>
            <c:dLbl>
              <c:idx val="1"/>
              <c:layout>
                <c:manualLayout>
                  <c:x val="-8.0536535799723252E-2"/>
                  <c:y val="-0.12332135875464381"/>
                </c:manualLayout>
              </c:layout>
              <c:tx>
                <c:rich>
                  <a:bodyPr/>
                  <a:lstStyle/>
                  <a:p>
                    <a:fld id="{41277F88-9177-4C09-9ADE-15B22CE4C945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46D-44C2-A332-4323304BDFF3}"/>
                </c:ext>
              </c:extLst>
            </c:dLbl>
            <c:dLbl>
              <c:idx val="2"/>
              <c:layout>
                <c:manualLayout>
                  <c:x val="-0.19910086649011496"/>
                  <c:y val="-4.2032904755427897E-2"/>
                </c:manualLayout>
              </c:layout>
              <c:tx>
                <c:rich>
                  <a:bodyPr/>
                  <a:lstStyle/>
                  <a:p>
                    <a:fld id="{6A87AC53-C5B9-4D6B-82CE-36507086B207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46D-44C2-A332-4323304BDFF3}"/>
                </c:ext>
              </c:extLst>
            </c:dLbl>
            <c:dLbl>
              <c:idx val="3"/>
              <c:layout>
                <c:manualLayout>
                  <c:x val="-0.10507556785905735"/>
                  <c:y val="-0.10638626417147387"/>
                </c:manualLayout>
              </c:layout>
              <c:tx>
                <c:rich>
                  <a:bodyPr/>
                  <a:lstStyle/>
                  <a:p>
                    <a:fld id="{802D76C7-71ED-4A0D-8057-8A8421C7B039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46D-44C2-A332-4323304BDFF3}"/>
                </c:ext>
              </c:extLst>
            </c:dLbl>
            <c:dLbl>
              <c:idx val="4"/>
              <c:layout>
                <c:manualLayout>
                  <c:x val="-0.17654332050533264"/>
                  <c:y val="-5.2193961505329886E-2"/>
                </c:manualLayout>
              </c:layout>
              <c:tx>
                <c:rich>
                  <a:bodyPr/>
                  <a:lstStyle/>
                  <a:p>
                    <a:fld id="{2129D98C-535B-4F71-BE7F-183BEB4851B0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46D-44C2-A332-4323304BDF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'Ark1'!$P$19:$P$23</c:f>
                <c:numCache>
                  <c:formatCode>General</c:formatCode>
                  <c:ptCount val="5"/>
                  <c:pt idx="0">
                    <c:v>2.1931712199461319E-3</c:v>
                  </c:pt>
                  <c:pt idx="1">
                    <c:v>5.1156622249714633E-3</c:v>
                  </c:pt>
                  <c:pt idx="2">
                    <c:v>4.6014490471299793E-3</c:v>
                  </c:pt>
                  <c:pt idx="3">
                    <c:v>6.8704682033565428E-3</c:v>
                  </c:pt>
                  <c:pt idx="4">
                    <c:v>3.442867022313422E-3</c:v>
                  </c:pt>
                </c:numCache>
              </c:numRef>
            </c:plus>
            <c:minus>
              <c:numRef>
                <c:f>'Ark1'!$P$19:$P$23</c:f>
                <c:numCache>
                  <c:formatCode>General</c:formatCode>
                  <c:ptCount val="5"/>
                  <c:pt idx="0">
                    <c:v>2.1931712199461319E-3</c:v>
                  </c:pt>
                  <c:pt idx="1">
                    <c:v>5.1156622249714633E-3</c:v>
                  </c:pt>
                  <c:pt idx="2">
                    <c:v>4.6014490471299793E-3</c:v>
                  </c:pt>
                  <c:pt idx="3">
                    <c:v>6.8704682033565428E-3</c:v>
                  </c:pt>
                  <c:pt idx="4">
                    <c:v>3.442867022313422E-3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'Ark1'!$M$19:$M$23</c:f>
                <c:numCache>
                  <c:formatCode>General</c:formatCode>
                  <c:ptCount val="5"/>
                  <c:pt idx="0">
                    <c:v>23.379832933534828</c:v>
                  </c:pt>
                  <c:pt idx="1">
                    <c:v>2.5033428317618291</c:v>
                  </c:pt>
                  <c:pt idx="2">
                    <c:v>2.7370861026524791</c:v>
                  </c:pt>
                  <c:pt idx="3">
                    <c:v>7.5292248605019072</c:v>
                  </c:pt>
                  <c:pt idx="4">
                    <c:v>45.585267974789588</c:v>
                  </c:pt>
                </c:numCache>
              </c:numRef>
            </c:plus>
            <c:minus>
              <c:numRef>
                <c:f>'Ark1'!$M$19:$M$23</c:f>
                <c:numCache>
                  <c:formatCode>General</c:formatCode>
                  <c:ptCount val="5"/>
                  <c:pt idx="0">
                    <c:v>23.379832933534828</c:v>
                  </c:pt>
                  <c:pt idx="1">
                    <c:v>2.5033428317618291</c:v>
                  </c:pt>
                  <c:pt idx="2">
                    <c:v>2.7370861026524791</c:v>
                  </c:pt>
                  <c:pt idx="3">
                    <c:v>7.5292248605019072</c:v>
                  </c:pt>
                  <c:pt idx="4">
                    <c:v>45.585267974789588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'Ark1'!$K$28:$K$32</c:f>
              <c:numCache>
                <c:formatCode>0.00%</c:formatCode>
                <c:ptCount val="5"/>
                <c:pt idx="0">
                  <c:v>0.13639999999999999</c:v>
                </c:pt>
                <c:pt idx="1">
                  <c:v>0.13390000000000002</c:v>
                </c:pt>
                <c:pt idx="2">
                  <c:v>0.12966666666666668</c:v>
                </c:pt>
                <c:pt idx="3">
                  <c:v>0.11813333333333333</c:v>
                </c:pt>
                <c:pt idx="4">
                  <c:v>0.15036666666666668</c:v>
                </c:pt>
              </c:numCache>
            </c:numRef>
          </c:xVal>
          <c:yVal>
            <c:numRef>
              <c:f>'Ark1'!$G$28:$G$32</c:f>
              <c:numCache>
                <c:formatCode>0</c:formatCode>
                <c:ptCount val="5"/>
                <c:pt idx="0">
                  <c:v>69.486000000000004</c:v>
                </c:pt>
                <c:pt idx="1">
                  <c:v>94.425333333333342</c:v>
                </c:pt>
                <c:pt idx="2">
                  <c:v>75.053666666666672</c:v>
                </c:pt>
                <c:pt idx="3">
                  <c:v>293.34699999999998</c:v>
                </c:pt>
                <c:pt idx="4">
                  <c:v>347.3123333333333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'Ark1'!$D$28:$D$32</c15:f>
                <c15:dlblRangeCache>
                  <c:ptCount val="5"/>
                  <c:pt idx="0">
                    <c:v>ministral-3:8b</c:v>
                  </c:pt>
                  <c:pt idx="1">
                    <c:v>gemma3:12b</c:v>
                  </c:pt>
                  <c:pt idx="2">
                    <c:v>ministral-3:14b</c:v>
                  </c:pt>
                  <c:pt idx="3">
                    <c:v>qwen3-vl:32b</c:v>
                  </c:pt>
                  <c:pt idx="4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46D-44C2-A332-4323304BDF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1952768"/>
        <c:axId val="611949888"/>
      </c:scatterChart>
      <c:valAx>
        <c:axId val="611952768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ROUGEL</a:t>
                </a:r>
                <a:r>
                  <a:rPr lang="en-GB" sz="1600" baseline="0"/>
                  <a:t> Score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49888"/>
        <c:crosses val="autoZero"/>
        <c:crossBetween val="midCat"/>
      </c:valAx>
      <c:valAx>
        <c:axId val="611949888"/>
        <c:scaling>
          <c:orientation val="minMax"/>
          <c:max val="4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Time Per Report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5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266848</xdr:colOff>
      <xdr:row>3</xdr:row>
      <xdr:rowOff>52519</xdr:rowOff>
    </xdr:from>
    <xdr:to>
      <xdr:col>35</xdr:col>
      <xdr:colOff>118318</xdr:colOff>
      <xdr:row>24</xdr:row>
      <xdr:rowOff>95146</xdr:rowOff>
    </xdr:to>
    <xdr:graphicFrame macro="">
      <xdr:nvGraphicFramePr>
        <xdr:cNvPr id="12" name="Diagram 1">
          <a:extLst>
            <a:ext uri="{FF2B5EF4-FFF2-40B4-BE49-F238E27FC236}">
              <a16:creationId xmlns:a16="http://schemas.microsoft.com/office/drawing/2014/main" id="{301A0D0B-F355-008C-9234-2AC428C49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537975</xdr:colOff>
      <xdr:row>25</xdr:row>
      <xdr:rowOff>102617</xdr:rowOff>
    </xdr:from>
    <xdr:to>
      <xdr:col>36</xdr:col>
      <xdr:colOff>565059</xdr:colOff>
      <xdr:row>48</xdr:row>
      <xdr:rowOff>138701</xdr:rowOff>
    </xdr:to>
    <xdr:graphicFrame macro="">
      <xdr:nvGraphicFramePr>
        <xdr:cNvPr id="100" name="Diagram 8">
          <a:extLst>
            <a:ext uri="{FF2B5EF4-FFF2-40B4-BE49-F238E27FC236}">
              <a16:creationId xmlns:a16="http://schemas.microsoft.com/office/drawing/2014/main" id="{CA987B8F-E35A-4B98-A764-3D78329EC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773087</xdr:colOff>
      <xdr:row>38</xdr:row>
      <xdr:rowOff>130225</xdr:rowOff>
    </xdr:from>
    <xdr:to>
      <xdr:col>21</xdr:col>
      <xdr:colOff>569833</xdr:colOff>
      <xdr:row>62</xdr:row>
      <xdr:rowOff>92028</xdr:rowOff>
    </xdr:to>
    <xdr:graphicFrame macro="">
      <xdr:nvGraphicFramePr>
        <xdr:cNvPr id="23" name="Diagram 12">
          <a:extLst>
            <a:ext uri="{FF2B5EF4-FFF2-40B4-BE49-F238E27FC236}">
              <a16:creationId xmlns:a16="http://schemas.microsoft.com/office/drawing/2014/main" id="{F701D4C1-22CF-746D-5FA0-3A28C5724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742849</xdr:colOff>
      <xdr:row>45</xdr:row>
      <xdr:rowOff>39511</xdr:rowOff>
    </xdr:from>
    <xdr:to>
      <xdr:col>9</xdr:col>
      <xdr:colOff>1042581</xdr:colOff>
      <xdr:row>70</xdr:row>
      <xdr:rowOff>111124</xdr:rowOff>
    </xdr:to>
    <xdr:graphicFrame macro="">
      <xdr:nvGraphicFramePr>
        <xdr:cNvPr id="15" name="Diagram 13">
          <a:extLst>
            <a:ext uri="{FF2B5EF4-FFF2-40B4-BE49-F238E27FC236}">
              <a16:creationId xmlns:a16="http://schemas.microsoft.com/office/drawing/2014/main" id="{512E0C33-1040-66AC-4C3F-6936C9D83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364348</xdr:colOff>
      <xdr:row>72</xdr:row>
      <xdr:rowOff>143590</xdr:rowOff>
    </xdr:from>
    <xdr:to>
      <xdr:col>10</xdr:col>
      <xdr:colOff>1385091</xdr:colOff>
      <xdr:row>104</xdr:row>
      <xdr:rowOff>147673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71653B0-CB0C-763E-82CB-655A459F8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348862</xdr:colOff>
      <xdr:row>72</xdr:row>
      <xdr:rowOff>129908</xdr:rowOff>
    </xdr:from>
    <xdr:to>
      <xdr:col>19</xdr:col>
      <xdr:colOff>324328</xdr:colOff>
      <xdr:row>104</xdr:row>
      <xdr:rowOff>123902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8797FCA9-FCFE-24CE-91E0-07CD6DC26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377409</xdr:colOff>
      <xdr:row>107</xdr:row>
      <xdr:rowOff>37956</xdr:rowOff>
    </xdr:from>
    <xdr:to>
      <xdr:col>10</xdr:col>
      <xdr:colOff>1413999</xdr:colOff>
      <xdr:row>139</xdr:row>
      <xdr:rowOff>169333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2DE23DF4-7599-07CD-7E04-1A96E97DF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341474</xdr:colOff>
      <xdr:row>107</xdr:row>
      <xdr:rowOff>34471</xdr:rowOff>
    </xdr:from>
    <xdr:to>
      <xdr:col>19</xdr:col>
      <xdr:colOff>476915</xdr:colOff>
      <xdr:row>140</xdr:row>
      <xdr:rowOff>90713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59CABE7C-0FDC-9A55-BFA1-A9AEE9668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T32"/>
  <sheetViews>
    <sheetView tabSelected="1" topLeftCell="D4" zoomScale="45" zoomScaleNormal="132" workbookViewId="0">
      <selection activeCell="K143" sqref="K143"/>
    </sheetView>
  </sheetViews>
  <sheetFormatPr baseColWidth="10" defaultColWidth="8.6328125" defaultRowHeight="14.5" x14ac:dyDescent="0.35"/>
  <cols>
    <col min="4" max="4" width="30.81640625" bestFit="1" customWidth="1"/>
    <col min="5" max="5" width="13.81640625" bestFit="1" customWidth="1"/>
    <col min="6" max="7" width="15.6328125" bestFit="1" customWidth="1"/>
    <col min="8" max="8" width="23.6328125" bestFit="1" customWidth="1"/>
    <col min="9" max="9" width="35.81640625" bestFit="1" customWidth="1"/>
    <col min="10" max="11" width="22.81640625" bestFit="1" customWidth="1"/>
    <col min="12" max="12" width="20.6328125" bestFit="1" customWidth="1"/>
    <col min="13" max="13" width="18.81640625" bestFit="1" customWidth="1"/>
    <col min="14" max="16" width="25.453125" bestFit="1" customWidth="1"/>
    <col min="17" max="17" width="12.7265625" bestFit="1" customWidth="1"/>
    <col min="18" max="19" width="19.26953125" bestFit="1" customWidth="1"/>
    <col min="20" max="20" width="19.08984375" bestFit="1" customWidth="1"/>
  </cols>
  <sheetData>
    <row r="4" spans="4:20" x14ac:dyDescent="0.35">
      <c r="I4" t="s">
        <v>16</v>
      </c>
    </row>
    <row r="5" spans="4:20" ht="15" thickBot="1" x14ac:dyDescent="0.4"/>
    <row r="6" spans="4:20" ht="15" thickBot="1" x14ac:dyDescent="0.4">
      <c r="D6" s="12" t="s">
        <v>14</v>
      </c>
    </row>
    <row r="7" spans="4:20" ht="15" thickBot="1" x14ac:dyDescent="0.4"/>
    <row r="8" spans="4:20" ht="15" thickBot="1" x14ac:dyDescent="0.4">
      <c r="D8" s="1" t="s">
        <v>0</v>
      </c>
      <c r="E8" s="2"/>
      <c r="F8" s="2"/>
      <c r="G8" s="2" t="s">
        <v>15</v>
      </c>
      <c r="H8" s="2"/>
      <c r="I8" s="2"/>
      <c r="J8" s="2"/>
      <c r="K8" s="3"/>
      <c r="M8" s="1" t="s">
        <v>26</v>
      </c>
      <c r="N8" s="2"/>
      <c r="O8" s="2"/>
      <c r="P8" s="2" t="s">
        <v>15</v>
      </c>
      <c r="Q8" s="2"/>
      <c r="R8" s="2"/>
      <c r="S8" s="2"/>
      <c r="T8" s="3"/>
    </row>
    <row r="9" spans="4:20" ht="15" thickBot="1" x14ac:dyDescent="0.4">
      <c r="D9" s="4" t="s">
        <v>1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5" t="s">
        <v>12</v>
      </c>
      <c r="K9" s="5" t="s">
        <v>13</v>
      </c>
      <c r="M9" s="4" t="s">
        <v>1</v>
      </c>
      <c r="N9" s="4" t="s">
        <v>7</v>
      </c>
      <c r="O9" s="4" t="s">
        <v>8</v>
      </c>
      <c r="P9" s="4" t="s">
        <v>9</v>
      </c>
      <c r="Q9" s="4" t="s">
        <v>10</v>
      </c>
      <c r="R9" s="4" t="s">
        <v>11</v>
      </c>
      <c r="S9" s="5" t="s">
        <v>12</v>
      </c>
      <c r="T9" s="5" t="s">
        <v>13</v>
      </c>
    </row>
    <row r="10" spans="4:20" x14ac:dyDescent="0.35">
      <c r="D10" s="6" t="s">
        <v>2</v>
      </c>
      <c r="E10" s="6">
        <v>9</v>
      </c>
      <c r="F10" s="6">
        <v>868.93</v>
      </c>
      <c r="G10" s="14">
        <v>96.457999999999998</v>
      </c>
      <c r="H10" s="7">
        <v>0.80220000000000002</v>
      </c>
      <c r="I10" s="7">
        <v>0.26229999999999998</v>
      </c>
      <c r="J10" s="10">
        <v>4.7199999999999999E-2</v>
      </c>
      <c r="K10" s="10">
        <v>0.13450000000000001</v>
      </c>
      <c r="M10" s="6" t="s">
        <v>2</v>
      </c>
      <c r="N10" s="6">
        <v>9</v>
      </c>
      <c r="O10" s="6">
        <v>510.5</v>
      </c>
      <c r="P10" s="14">
        <v>57</v>
      </c>
      <c r="Q10" s="7">
        <v>0.80730000000000002</v>
      </c>
      <c r="R10" s="7">
        <v>0.27110000000000001</v>
      </c>
      <c r="S10" s="10">
        <v>4.4299999999999999E-2</v>
      </c>
      <c r="T10" s="10">
        <v>0.13589999999999999</v>
      </c>
    </row>
    <row r="11" spans="4:20" x14ac:dyDescent="0.35">
      <c r="D11" s="6" t="s">
        <v>3</v>
      </c>
      <c r="E11" s="6">
        <v>9</v>
      </c>
      <c r="F11" s="6">
        <v>848.48</v>
      </c>
      <c r="G11" s="14">
        <v>94.275999999999996</v>
      </c>
      <c r="H11" s="7">
        <v>0.81610000000000005</v>
      </c>
      <c r="I11" s="7">
        <v>0.29220000000000002</v>
      </c>
      <c r="J11" s="10">
        <v>5.74E-2</v>
      </c>
      <c r="K11" s="10">
        <v>0.13120000000000001</v>
      </c>
      <c r="M11" s="6" t="s">
        <v>3</v>
      </c>
      <c r="N11" s="6">
        <v>9</v>
      </c>
      <c r="O11" s="6">
        <v>829.72</v>
      </c>
      <c r="P11" s="14">
        <v>92</v>
      </c>
      <c r="Q11" s="7">
        <v>0.8175</v>
      </c>
      <c r="R11" s="7">
        <v>0.31090000000000001</v>
      </c>
      <c r="S11" s="10">
        <v>6.54E-2</v>
      </c>
      <c r="T11" s="10">
        <v>0.13980000000000001</v>
      </c>
    </row>
    <row r="12" spans="4:20" x14ac:dyDescent="0.35">
      <c r="D12" s="6" t="s">
        <v>4</v>
      </c>
      <c r="E12" s="6">
        <v>9</v>
      </c>
      <c r="F12" s="6">
        <v>703.45</v>
      </c>
      <c r="G12" s="14">
        <v>78.161000000000001</v>
      </c>
      <c r="H12" s="7">
        <v>0.79579999999999995</v>
      </c>
      <c r="I12" s="7">
        <v>0.26619999999999999</v>
      </c>
      <c r="J12" s="10">
        <v>4.1099999999999998E-2</v>
      </c>
      <c r="K12" s="10">
        <v>0.1298</v>
      </c>
      <c r="M12" s="6" t="s">
        <v>4</v>
      </c>
      <c r="N12" s="6">
        <v>9</v>
      </c>
      <c r="O12" s="6">
        <v>655.93</v>
      </c>
      <c r="P12" s="14">
        <v>73</v>
      </c>
      <c r="Q12" s="7">
        <v>0.79569999999999996</v>
      </c>
      <c r="R12" s="7">
        <v>0.25879999999999997</v>
      </c>
      <c r="S12" s="10">
        <v>3.5499999999999997E-2</v>
      </c>
      <c r="T12" s="10">
        <v>0.125</v>
      </c>
    </row>
    <row r="13" spans="4:20" x14ac:dyDescent="0.35">
      <c r="D13" s="6" t="s">
        <v>5</v>
      </c>
      <c r="E13" s="6">
        <v>9</v>
      </c>
      <c r="F13" s="6">
        <v>2718.37</v>
      </c>
      <c r="G13" s="14">
        <v>302.041</v>
      </c>
      <c r="H13" s="7">
        <v>0.79400000000000004</v>
      </c>
      <c r="I13" s="7">
        <v>0.2331</v>
      </c>
      <c r="J13" s="10">
        <v>1.7899999999999999E-2</v>
      </c>
      <c r="K13" s="10">
        <v>0.11020000000000001</v>
      </c>
      <c r="M13" s="6" t="s">
        <v>5</v>
      </c>
      <c r="N13" s="6">
        <v>7</v>
      </c>
      <c r="O13" s="6">
        <v>2020.89</v>
      </c>
      <c r="P13" s="14">
        <v>289</v>
      </c>
      <c r="Q13" s="7">
        <v>0.79700000000000004</v>
      </c>
      <c r="R13" s="7">
        <v>0.23730000000000001</v>
      </c>
      <c r="S13" s="10">
        <v>2.5600000000000001E-2</v>
      </c>
      <c r="T13" s="10">
        <v>0.1221</v>
      </c>
    </row>
    <row r="14" spans="4:20" ht="15" thickBot="1" x14ac:dyDescent="0.4">
      <c r="D14" s="8" t="s">
        <v>6</v>
      </c>
      <c r="E14" s="8">
        <v>7</v>
      </c>
      <c r="F14" s="8">
        <v>2799.56</v>
      </c>
      <c r="G14" s="13">
        <v>399.93700000000001</v>
      </c>
      <c r="H14" s="9">
        <v>0.8085</v>
      </c>
      <c r="I14" s="9">
        <v>0.2787</v>
      </c>
      <c r="J14" s="11">
        <v>3.5700000000000003E-2</v>
      </c>
      <c r="K14" s="11">
        <v>0.1489</v>
      </c>
      <c r="M14" s="8" t="s">
        <v>6</v>
      </c>
      <c r="N14" s="8">
        <v>6</v>
      </c>
      <c r="O14" s="8">
        <v>1931.25</v>
      </c>
      <c r="P14" s="13">
        <v>322</v>
      </c>
      <c r="Q14" s="9">
        <v>0.80310000000000004</v>
      </c>
      <c r="R14" s="9">
        <v>0.26879999999999998</v>
      </c>
      <c r="S14" s="11">
        <v>3.2800000000000003E-2</v>
      </c>
      <c r="T14" s="10">
        <v>0.1479</v>
      </c>
    </row>
    <row r="16" spans="4:20" ht="15" thickBot="1" x14ac:dyDescent="0.4"/>
    <row r="17" spans="4:16" ht="15" thickBot="1" x14ac:dyDescent="0.4">
      <c r="D17" s="1" t="s">
        <v>17</v>
      </c>
      <c r="E17" s="2"/>
      <c r="F17" s="2"/>
      <c r="G17" s="2" t="s">
        <v>15</v>
      </c>
      <c r="H17" s="2"/>
      <c r="I17" s="2"/>
      <c r="J17" s="2"/>
      <c r="K17" s="3"/>
      <c r="L17" t="s">
        <v>21</v>
      </c>
      <c r="N17" t="s">
        <v>22</v>
      </c>
      <c r="O17" t="s">
        <v>24</v>
      </c>
      <c r="P17" t="s">
        <v>25</v>
      </c>
    </row>
    <row r="18" spans="4:16" ht="15" thickBot="1" x14ac:dyDescent="0.4">
      <c r="D18" s="4" t="s">
        <v>1</v>
      </c>
      <c r="E18" s="4" t="s">
        <v>7</v>
      </c>
      <c r="F18" s="4" t="s">
        <v>8</v>
      </c>
      <c r="G18" s="4" t="s">
        <v>9</v>
      </c>
      <c r="H18" s="4" t="s">
        <v>10</v>
      </c>
      <c r="I18" s="4" t="s">
        <v>11</v>
      </c>
      <c r="J18" s="5" t="s">
        <v>12</v>
      </c>
      <c r="K18" s="5" t="s">
        <v>13</v>
      </c>
      <c r="L18" s="15" t="s">
        <v>19</v>
      </c>
      <c r="M18" s="15" t="s">
        <v>18</v>
      </c>
      <c r="N18" s="15" t="s">
        <v>23</v>
      </c>
      <c r="O18" s="15" t="s">
        <v>23</v>
      </c>
      <c r="P18" s="15" t="s">
        <v>23</v>
      </c>
    </row>
    <row r="19" spans="4:16" x14ac:dyDescent="0.35">
      <c r="D19" s="6" t="s">
        <v>2</v>
      </c>
      <c r="E19" s="6">
        <v>9</v>
      </c>
      <c r="F19" s="6">
        <v>499.27</v>
      </c>
      <c r="G19" s="14">
        <v>55</v>
      </c>
      <c r="H19" s="7">
        <v>0.80989999999999995</v>
      </c>
      <c r="I19" s="7">
        <v>0.28370000000000001</v>
      </c>
      <c r="J19" s="10">
        <v>4.8000000000000001E-2</v>
      </c>
      <c r="K19" s="10">
        <v>0.13880000000000001</v>
      </c>
      <c r="L19">
        <f>STDEV(H10,H19,Q10)</f>
        <v>3.9170567181664711E-3</v>
      </c>
      <c r="M19">
        <f>STDEV(G10,G19,P10)</f>
        <v>23.379832933534828</v>
      </c>
      <c r="N19">
        <f>STDEV(I10,I19,R10)</f>
        <v>1.0756083549942034E-2</v>
      </c>
      <c r="O19">
        <f>STDEV(J10,J19,S10)</f>
        <v>1.9467922333931793E-3</v>
      </c>
      <c r="P19">
        <f>STDEV(K10,K19,T10)</f>
        <v>2.1931712199461319E-3</v>
      </c>
    </row>
    <row r="20" spans="4:16" x14ac:dyDescent="0.35">
      <c r="D20" s="6" t="s">
        <v>3</v>
      </c>
      <c r="E20" s="6">
        <v>9</v>
      </c>
      <c r="F20" s="6">
        <v>869.53</v>
      </c>
      <c r="G20" s="14">
        <v>97</v>
      </c>
      <c r="H20" s="7">
        <v>0.81440000000000001</v>
      </c>
      <c r="I20" s="7">
        <v>0.2949</v>
      </c>
      <c r="J20" s="10">
        <v>6.2600000000000003E-2</v>
      </c>
      <c r="K20" s="10">
        <v>0.13070000000000001</v>
      </c>
      <c r="L20">
        <f t="shared" ref="L20:L23" si="0">STDEV(H11,H20,Q11)</f>
        <v>1.5524174696259995E-3</v>
      </c>
      <c r="M20">
        <f t="shared" ref="M20:M23" si="1">STDEV(G11,G20,P11)</f>
        <v>2.5033428317618291</v>
      </c>
      <c r="N20">
        <f t="shared" ref="N20:N23" si="2">STDEV(I11,I20,R11)</f>
        <v>1.0107587908761088E-2</v>
      </c>
      <c r="O20">
        <f t="shared" ref="O20:O23" si="3">STDEV(J11,J20,S11)</f>
        <v>4.0595566260368888E-3</v>
      </c>
      <c r="P20">
        <f t="shared" ref="P20:P23" si="4">STDEV(K11,K20,T11)</f>
        <v>5.1156622249714633E-3</v>
      </c>
    </row>
    <row r="21" spans="4:16" x14ac:dyDescent="0.35">
      <c r="D21" s="6" t="s">
        <v>4</v>
      </c>
      <c r="E21" s="6">
        <v>9</v>
      </c>
      <c r="F21" s="6">
        <v>669.67</v>
      </c>
      <c r="G21" s="14">
        <v>74</v>
      </c>
      <c r="H21" s="7">
        <v>0.7994</v>
      </c>
      <c r="I21" s="7">
        <v>0.26919999999999999</v>
      </c>
      <c r="J21" s="10">
        <v>4.4400000000000002E-2</v>
      </c>
      <c r="K21" s="10">
        <v>0.13420000000000001</v>
      </c>
      <c r="L21">
        <f t="shared" si="0"/>
        <v>2.107921567168341E-3</v>
      </c>
      <c r="M21">
        <f t="shared" si="1"/>
        <v>2.7370861026524791</v>
      </c>
      <c r="N21">
        <f t="shared" si="2"/>
        <v>5.3528808443055647E-3</v>
      </c>
      <c r="O21">
        <f t="shared" si="3"/>
        <v>4.4992591982829077E-3</v>
      </c>
      <c r="P21">
        <f t="shared" si="4"/>
        <v>4.6014490471299793E-3</v>
      </c>
    </row>
    <row r="22" spans="4:16" x14ac:dyDescent="0.35">
      <c r="D22" s="6" t="s">
        <v>5</v>
      </c>
      <c r="E22" s="6">
        <v>7</v>
      </c>
      <c r="F22" s="6">
        <v>2020.89</v>
      </c>
      <c r="G22" s="14">
        <v>289</v>
      </c>
      <c r="H22" s="7">
        <v>0.79700000000000004</v>
      </c>
      <c r="I22" s="7">
        <v>0.23730000000000001</v>
      </c>
      <c r="J22" s="10">
        <v>2.5600000000000001E-2</v>
      </c>
      <c r="K22" s="10">
        <v>0.1221</v>
      </c>
      <c r="L22">
        <f t="shared" si="0"/>
        <v>1.7320508075688787E-3</v>
      </c>
      <c r="M22">
        <f t="shared" si="1"/>
        <v>7.5292248605019072</v>
      </c>
      <c r="N22">
        <f t="shared" si="2"/>
        <v>2.4248711305964337E-3</v>
      </c>
      <c r="O22">
        <f t="shared" si="3"/>
        <v>4.4455970727601199E-3</v>
      </c>
      <c r="P22">
        <f t="shared" si="4"/>
        <v>6.8704682033565428E-3</v>
      </c>
    </row>
    <row r="23" spans="4:16" ht="15" thickBot="1" x14ac:dyDescent="0.4">
      <c r="D23" s="8" t="s">
        <v>6</v>
      </c>
      <c r="E23" s="8">
        <v>6</v>
      </c>
      <c r="F23" s="8">
        <v>1922.02</v>
      </c>
      <c r="G23" s="13">
        <v>320</v>
      </c>
      <c r="H23" s="9">
        <v>0.80940000000000001</v>
      </c>
      <c r="I23" s="9">
        <v>0.28889999999999999</v>
      </c>
      <c r="J23" s="11">
        <v>3.32E-2</v>
      </c>
      <c r="K23" s="11">
        <v>0.15429999999999999</v>
      </c>
      <c r="L23">
        <f t="shared" si="0"/>
        <v>3.4073450074801454E-3</v>
      </c>
      <c r="M23">
        <f t="shared" si="1"/>
        <v>45.585267974789588</v>
      </c>
      <c r="N23">
        <f t="shared" si="2"/>
        <v>1.0050373127401792E-2</v>
      </c>
      <c r="O23">
        <f t="shared" si="3"/>
        <v>1.5716233645501716E-3</v>
      </c>
      <c r="P23">
        <f t="shared" si="4"/>
        <v>3.442867022313422E-3</v>
      </c>
    </row>
    <row r="25" spans="4:16" ht="15" thickBot="1" x14ac:dyDescent="0.4"/>
    <row r="26" spans="4:16" ht="15" thickBot="1" x14ac:dyDescent="0.4">
      <c r="D26" s="16" t="s">
        <v>20</v>
      </c>
      <c r="E26" s="17"/>
      <c r="F26" s="17"/>
      <c r="G26" s="17"/>
      <c r="H26" s="17"/>
      <c r="I26" s="18"/>
      <c r="J26" s="18"/>
      <c r="K26" s="18"/>
    </row>
    <row r="27" spans="4:16" ht="15" thickBot="1" x14ac:dyDescent="0.4">
      <c r="D27" s="4" t="s">
        <v>1</v>
      </c>
      <c r="E27" s="4" t="s">
        <v>7</v>
      </c>
      <c r="F27" s="4" t="s">
        <v>8</v>
      </c>
      <c r="G27" s="4" t="s">
        <v>9</v>
      </c>
      <c r="H27" s="4" t="s">
        <v>10</v>
      </c>
      <c r="I27" s="19" t="s">
        <v>11</v>
      </c>
      <c r="J27" s="19" t="s">
        <v>12</v>
      </c>
      <c r="K27" s="19" t="s">
        <v>13</v>
      </c>
    </row>
    <row r="28" spans="4:16" x14ac:dyDescent="0.35">
      <c r="D28" s="20" t="s">
        <v>2</v>
      </c>
      <c r="E28" s="20">
        <f>AVERAGE(E10,E19,N10)</f>
        <v>9</v>
      </c>
      <c r="F28" s="21">
        <f>AVERAGE(F10,F19,O10)</f>
        <v>626.23333333333323</v>
      </c>
      <c r="G28" s="24">
        <f>AVERAGE(G10,G19,P10)</f>
        <v>69.486000000000004</v>
      </c>
      <c r="H28" s="22">
        <f>AVERAGE(H10,H19,Q10)</f>
        <v>0.80646666666666667</v>
      </c>
      <c r="I28" s="25">
        <f>AVERAGE(I10,I19,R10)</f>
        <v>0.2723666666666667</v>
      </c>
      <c r="J28" s="25">
        <f>AVERAGE(J10,J19,S10)</f>
        <v>4.6500000000000007E-2</v>
      </c>
      <c r="K28" s="25">
        <f>AVERAGE(K10,K19,T10)</f>
        <v>0.13639999999999999</v>
      </c>
    </row>
    <row r="29" spans="4:16" x14ac:dyDescent="0.35">
      <c r="D29" s="20" t="s">
        <v>3</v>
      </c>
      <c r="E29" s="20">
        <f t="shared" ref="E29:E32" si="5">AVERAGE(E11,E20,N11)</f>
        <v>9</v>
      </c>
      <c r="F29" s="21">
        <f t="shared" ref="F29:F32" si="6">AVERAGE(F11,F20,O11)</f>
        <v>849.24333333333334</v>
      </c>
      <c r="G29" s="24">
        <f t="shared" ref="G29:G32" si="7">AVERAGE(G11,G20,P11)</f>
        <v>94.425333333333342</v>
      </c>
      <c r="H29" s="22">
        <f t="shared" ref="H29:H32" si="8">AVERAGE(H11,H20,Q11)</f>
        <v>0.81599999999999995</v>
      </c>
      <c r="I29" s="25">
        <f t="shared" ref="I29:I32" si="9">AVERAGE(I11,I20,R11)</f>
        <v>0.29933333333333328</v>
      </c>
      <c r="J29" s="25">
        <f t="shared" ref="J29:J32" si="10">AVERAGE(J11,J20,S11)</f>
        <v>6.1800000000000001E-2</v>
      </c>
      <c r="K29" s="25">
        <f t="shared" ref="K29:K32" si="11">AVERAGE(K11,K20,T11)</f>
        <v>0.13390000000000002</v>
      </c>
    </row>
    <row r="30" spans="4:16" x14ac:dyDescent="0.35">
      <c r="D30" s="20" t="s">
        <v>4</v>
      </c>
      <c r="E30" s="20">
        <f t="shared" si="5"/>
        <v>9</v>
      </c>
      <c r="F30" s="21">
        <f t="shared" si="6"/>
        <v>676.34999999999991</v>
      </c>
      <c r="G30" s="24">
        <f t="shared" si="7"/>
        <v>75.053666666666672</v>
      </c>
      <c r="H30" s="22">
        <f t="shared" si="8"/>
        <v>0.7969666666666666</v>
      </c>
      <c r="I30" s="25">
        <f t="shared" si="9"/>
        <v>0.26473333333333332</v>
      </c>
      <c r="J30" s="25">
        <f t="shared" si="10"/>
        <v>4.0333333333333332E-2</v>
      </c>
      <c r="K30" s="25">
        <f t="shared" si="11"/>
        <v>0.12966666666666668</v>
      </c>
    </row>
    <row r="31" spans="4:16" x14ac:dyDescent="0.35">
      <c r="D31" s="20" t="s">
        <v>5</v>
      </c>
      <c r="E31" s="24">
        <f t="shared" si="5"/>
        <v>7.666666666666667</v>
      </c>
      <c r="F31" s="21">
        <f t="shared" si="6"/>
        <v>2253.3833333333337</v>
      </c>
      <c r="G31" s="24">
        <f t="shared" si="7"/>
        <v>293.34699999999998</v>
      </c>
      <c r="H31" s="22">
        <f t="shared" si="8"/>
        <v>0.79600000000000015</v>
      </c>
      <c r="I31" s="25">
        <f t="shared" si="9"/>
        <v>0.2359</v>
      </c>
      <c r="J31" s="25">
        <f t="shared" si="10"/>
        <v>2.3033333333333333E-2</v>
      </c>
      <c r="K31" s="25">
        <f t="shared" si="11"/>
        <v>0.11813333333333333</v>
      </c>
    </row>
    <row r="32" spans="4:16" ht="15" thickBot="1" x14ac:dyDescent="0.4">
      <c r="D32" s="23" t="s">
        <v>6</v>
      </c>
      <c r="E32" s="24">
        <f t="shared" si="5"/>
        <v>6.333333333333333</v>
      </c>
      <c r="F32" s="21">
        <f t="shared" si="6"/>
        <v>2217.61</v>
      </c>
      <c r="G32" s="24">
        <f t="shared" si="7"/>
        <v>347.3123333333333</v>
      </c>
      <c r="H32" s="22">
        <f t="shared" si="8"/>
        <v>0.80700000000000005</v>
      </c>
      <c r="I32" s="25">
        <f t="shared" si="9"/>
        <v>0.27879999999999999</v>
      </c>
      <c r="J32" s="25">
        <f t="shared" si="10"/>
        <v>3.3900000000000007E-2</v>
      </c>
      <c r="K32" s="25">
        <f t="shared" si="11"/>
        <v>0.15036666666666668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136555-765b-4b1a-b316-525340316ec4" xsi:nil="true"/>
    <lcf76f155ced4ddcb4097134ff3c332f xmlns="5d55b3d5-c866-4089-81d1-4419affa2c4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3B5D38EA07441B442C3AB44D726DE" ma:contentTypeVersion="10" ma:contentTypeDescription="Create a new document." ma:contentTypeScope="" ma:versionID="0cb0bb33b6656357454cbf11b7be293f">
  <xsd:schema xmlns:xsd="http://www.w3.org/2001/XMLSchema" xmlns:xs="http://www.w3.org/2001/XMLSchema" xmlns:p="http://schemas.microsoft.com/office/2006/metadata/properties" xmlns:ns2="5d55b3d5-c866-4089-81d1-4419affa2c4b" xmlns:ns3="7f136555-765b-4b1a-b316-525340316ec4" targetNamespace="http://schemas.microsoft.com/office/2006/metadata/properties" ma:root="true" ma:fieldsID="40bcf14f2e1afff745b6656e2fba4710" ns2:_="" ns3:_="">
    <xsd:import namespace="5d55b3d5-c866-4089-81d1-4419affa2c4b"/>
    <xsd:import namespace="7f136555-765b-4b1a-b316-525340316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5b3d5-c866-4089-81d1-4419affa2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36555-765b-4b1a-b316-525340316e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a0dcb5-51de-43a8-bb1e-7cff8be3ac14}" ma:internalName="TaxCatchAll" ma:showField="CatchAllData" ma:web="7f136555-765b-4b1a-b316-525340316e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19ECDD-6FCE-40E5-A99C-0B7DF2EA77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1C7002-EFEF-4B08-92B5-26DF30282C44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7f136555-765b-4b1a-b316-525340316ec4"/>
    <ds:schemaRef ds:uri="5d55b3d5-c866-4089-81d1-4419affa2c4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BD65740-84B2-435F-8A1D-959CF74FA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5b3d5-c866-4089-81d1-4419affa2c4b"/>
    <ds:schemaRef ds:uri="7f136555-765b-4b1a-b316-525340316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Jens-Joachim Jensen</cp:lastModifiedBy>
  <cp:revision/>
  <dcterms:created xsi:type="dcterms:W3CDTF">2026-04-15T06:50:53Z</dcterms:created>
  <dcterms:modified xsi:type="dcterms:W3CDTF">2026-05-03T08:17:16Z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0x010100C003B5D38EA07441B442C3AB44D726DE</vt:lpwstr>
  </property>
  <property fmtid="{D5CDD505-2E9C-101B-9397-08002B2CF9AE}" pid="3" name="MediaServiceImageTags">
    <vt:lpwstr/>
  </property>
</Properties>
</file>